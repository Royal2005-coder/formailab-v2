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8_{747A6ED0-A32F-4943-A8B5-52012E45F85A}" xr6:coauthVersionLast="47" xr6:coauthVersionMax="47" xr10:uidLastSave="{00000000-0000-0000-0000-000000000000}"/>
  <bookViews>
    <workbookView xWindow="-108" yWindow="-108" windowWidth="23256" windowHeight="12456" firstSheet="2" activeTab="4" xr2:uid="{00000000-000D-0000-FFFF-FFFF00000000}"/>
  </bookViews>
  <sheets>
    <sheet name="Guideline" sheetId="1" r:id="rId1"/>
    <sheet name="Cover" sheetId="2" r:id="rId2"/>
    <sheet name="FunctionList" sheetId="3" r:id="rId3"/>
    <sheet name="Test Report" sheetId="4" r:id="rId4"/>
    <sheet name="UT01_XacThuc" sheetId="5" r:id="rId5"/>
    <sheet name="UT02_ToChuc" sheetId="6" r:id="rId6"/>
    <sheet name="UT03_Workspace_RBAC" sheetId="7" r:id="rId7"/>
    <sheet name="UT04_Dashboard_DieuHuong" sheetId="8" r:id="rId8"/>
    <sheet name="UT05_Survey_ThuCong" sheetId="9" r:id="rId9"/>
    <sheet name="UT06_Import_CSV_XLSX" sheetId="10" r:id="rId10"/>
    <sheet name="UT07_TestBank_Adaptive" sheetId="11" r:id="rId11"/>
    <sheet name="UT08_PhanHoi" sheetId="12" r:id="rId12"/>
    <sheet name="UT09_PhanTich_Insights" sheetId="13" r:id="rId13"/>
    <sheet name="UT10_AI_TaoSurvey" sheetId="14" r:id="rId14"/>
    <sheet name="UT11_AI_Dich" sheetId="15" r:id="rId15"/>
    <sheet name="UT12_AI_Sentiment" sheetId="16" r:id="rId16"/>
    <sheet name="UT13_AI_TopicTree" sheetId="17" r:id="rId17"/>
    <sheet name="UT14_AI_ResultChat" sheetId="18" r:id="rId18"/>
    <sheet name="UT15_TichHop" sheetId="19" r:id="rId19"/>
    <sheet name="UT16_API" sheetId="20" r:id="rId20"/>
    <sheet name="UT17_LuuTru_Email" sheetId="21" r:id="rId21"/>
    <sheet name="Bài mẫu" sheetId="22" r:id="rId22"/>
  </sheets>
  <calcPr calcId="191029"/>
  <fileRecoveryPr repairLoad="1"/>
</workbook>
</file>

<file path=xl/calcChain.xml><?xml version="1.0" encoding="utf-8"?>
<calcChain xmlns="http://schemas.openxmlformats.org/spreadsheetml/2006/main">
  <c r="M7" i="21" l="1"/>
  <c r="K7" i="21"/>
  <c r="I7" i="21"/>
  <c r="E7" i="21"/>
  <c r="E28" i="4" s="1"/>
  <c r="C7" i="21"/>
  <c r="A7" i="21"/>
  <c r="M7" i="20"/>
  <c r="K7" i="20"/>
  <c r="H27" i="4" s="1"/>
  <c r="I7" i="20"/>
  <c r="G27" i="4" s="1"/>
  <c r="E7" i="20"/>
  <c r="E27" i="4" s="1"/>
  <c r="C7" i="20"/>
  <c r="D27" i="4" s="1"/>
  <c r="A7" i="20"/>
  <c r="M7" i="19"/>
  <c r="K7" i="19"/>
  <c r="I7" i="19"/>
  <c r="E7" i="19"/>
  <c r="C7" i="19"/>
  <c r="A7" i="19"/>
  <c r="M7" i="18"/>
  <c r="K7" i="18"/>
  <c r="H25" i="4" s="1"/>
  <c r="I7" i="18"/>
  <c r="G25" i="4" s="1"/>
  <c r="E7" i="18"/>
  <c r="E25" i="4" s="1"/>
  <c r="C7" i="18"/>
  <c r="D25" i="4" s="1"/>
  <c r="A7" i="18"/>
  <c r="C25" i="4" s="1"/>
  <c r="M7" i="17"/>
  <c r="K7" i="17"/>
  <c r="I7" i="17"/>
  <c r="E7" i="17"/>
  <c r="E24" i="4" s="1"/>
  <c r="C7" i="17"/>
  <c r="A7" i="17"/>
  <c r="M7" i="16"/>
  <c r="K7" i="16"/>
  <c r="H23" i="4" s="1"/>
  <c r="I7" i="16"/>
  <c r="G23" i="4" s="1"/>
  <c r="E7" i="16"/>
  <c r="E23" i="4" s="1"/>
  <c r="C7" i="16"/>
  <c r="A7" i="16"/>
  <c r="C23" i="4" s="1"/>
  <c r="M7" i="15"/>
  <c r="K7" i="15"/>
  <c r="I7" i="15"/>
  <c r="E7" i="15"/>
  <c r="E22" i="4" s="1"/>
  <c r="C7" i="15"/>
  <c r="A7" i="15"/>
  <c r="M7" i="14"/>
  <c r="K7" i="14"/>
  <c r="H21" i="4" s="1"/>
  <c r="I7" i="14"/>
  <c r="G21" i="4" s="1"/>
  <c r="E7" i="14"/>
  <c r="E21" i="4" s="1"/>
  <c r="C7" i="14"/>
  <c r="D21" i="4" s="1"/>
  <c r="A7" i="14"/>
  <c r="C21" i="4" s="1"/>
  <c r="M7" i="13"/>
  <c r="K7" i="13"/>
  <c r="I7" i="13"/>
  <c r="E7" i="13"/>
  <c r="E20" i="4" s="1"/>
  <c r="C7" i="13"/>
  <c r="A7" i="13"/>
  <c r="M7" i="12"/>
  <c r="I19" i="4" s="1"/>
  <c r="K7" i="12"/>
  <c r="H19" i="4" s="1"/>
  <c r="I7" i="12"/>
  <c r="G19" i="4" s="1"/>
  <c r="E7" i="12"/>
  <c r="E19" i="4" s="1"/>
  <c r="C7" i="12"/>
  <c r="D19" i="4" s="1"/>
  <c r="A7" i="12"/>
  <c r="C19" i="4" s="1"/>
  <c r="M7" i="11"/>
  <c r="K7" i="11"/>
  <c r="I7" i="11"/>
  <c r="E7" i="11"/>
  <c r="E18" i="4" s="1"/>
  <c r="C7" i="11"/>
  <c r="A7" i="11"/>
  <c r="M7" i="10"/>
  <c r="I17" i="4" s="1"/>
  <c r="K7" i="10"/>
  <c r="H17" i="4" s="1"/>
  <c r="I7" i="10"/>
  <c r="G17" i="4" s="1"/>
  <c r="E7" i="10"/>
  <c r="E17" i="4" s="1"/>
  <c r="C7" i="10"/>
  <c r="D17" i="4" s="1"/>
  <c r="A7" i="10"/>
  <c r="C17" i="4" s="1"/>
  <c r="M7" i="9"/>
  <c r="I16" i="4" s="1"/>
  <c r="K7" i="9"/>
  <c r="H16" i="4" s="1"/>
  <c r="I7" i="9"/>
  <c r="E7" i="9"/>
  <c r="E16" i="4" s="1"/>
  <c r="C7" i="9"/>
  <c r="A7" i="9"/>
  <c r="M7" i="8"/>
  <c r="I15" i="4" s="1"/>
  <c r="K7" i="8"/>
  <c r="H15" i="4" s="1"/>
  <c r="I7" i="8"/>
  <c r="G15" i="4" s="1"/>
  <c r="E7" i="8"/>
  <c r="E15" i="4" s="1"/>
  <c r="C7" i="8"/>
  <c r="D15" i="4" s="1"/>
  <c r="A7" i="8"/>
  <c r="C15" i="4" s="1"/>
  <c r="M7" i="7"/>
  <c r="I14" i="4" s="1"/>
  <c r="K7" i="7"/>
  <c r="H14" i="4" s="1"/>
  <c r="I7" i="7"/>
  <c r="G14" i="4" s="1"/>
  <c r="E7" i="7"/>
  <c r="C7" i="7"/>
  <c r="A7" i="7"/>
  <c r="M7" i="6"/>
  <c r="I13" i="4" s="1"/>
  <c r="K7" i="6"/>
  <c r="H13" i="4" s="1"/>
  <c r="I7" i="6"/>
  <c r="G13" i="4" s="1"/>
  <c r="E7" i="6"/>
  <c r="E13" i="4" s="1"/>
  <c r="C7" i="6"/>
  <c r="A7" i="6"/>
  <c r="C13" i="4" s="1"/>
  <c r="M7" i="5"/>
  <c r="I12" i="4" s="1"/>
  <c r="K7" i="5"/>
  <c r="H12" i="4" s="1"/>
  <c r="I7" i="5"/>
  <c r="G12" i="4" s="1"/>
  <c r="E7" i="5"/>
  <c r="E12" i="4" s="1"/>
  <c r="C7" i="5"/>
  <c r="D12" i="4" s="1"/>
  <c r="A7" i="5"/>
  <c r="J28" i="4"/>
  <c r="I28" i="4"/>
  <c r="H28" i="4"/>
  <c r="G28" i="4"/>
  <c r="D28" i="4"/>
  <c r="C28" i="4"/>
  <c r="B28" i="4"/>
  <c r="J27" i="4"/>
  <c r="I27" i="4"/>
  <c r="B27" i="4"/>
  <c r="J26" i="4"/>
  <c r="I26" i="4"/>
  <c r="H26" i="4"/>
  <c r="G26" i="4"/>
  <c r="E26" i="4"/>
  <c r="D26" i="4"/>
  <c r="C26" i="4"/>
  <c r="B26" i="4"/>
  <c r="J25" i="4"/>
  <c r="I25" i="4"/>
  <c r="B25" i="4"/>
  <c r="J24" i="4"/>
  <c r="I24" i="4"/>
  <c r="H24" i="4"/>
  <c r="G24" i="4"/>
  <c r="D24" i="4"/>
  <c r="C24" i="4"/>
  <c r="B24" i="4"/>
  <c r="J23" i="4"/>
  <c r="I23" i="4"/>
  <c r="B23" i="4"/>
  <c r="J22" i="4"/>
  <c r="I22" i="4"/>
  <c r="H22" i="4"/>
  <c r="G22" i="4"/>
  <c r="D22" i="4"/>
  <c r="C22" i="4"/>
  <c r="B22" i="4"/>
  <c r="J21" i="4"/>
  <c r="I21" i="4"/>
  <c r="B21" i="4"/>
  <c r="J20" i="4"/>
  <c r="I20" i="4"/>
  <c r="H20" i="4"/>
  <c r="G20" i="4"/>
  <c r="D20" i="4"/>
  <c r="C20" i="4"/>
  <c r="B20" i="4"/>
  <c r="J19" i="4"/>
  <c r="B19" i="4"/>
  <c r="J18" i="4"/>
  <c r="I18" i="4"/>
  <c r="H18" i="4"/>
  <c r="G18" i="4"/>
  <c r="D18" i="4"/>
  <c r="C18" i="4"/>
  <c r="B18" i="4"/>
  <c r="J17" i="4"/>
  <c r="B17" i="4"/>
  <c r="J16" i="4"/>
  <c r="G16" i="4"/>
  <c r="D16" i="4"/>
  <c r="C16" i="4"/>
  <c r="B16" i="4"/>
  <c r="J15" i="4"/>
  <c r="B15" i="4"/>
  <c r="J14" i="4"/>
  <c r="E14" i="4"/>
  <c r="D14" i="4"/>
  <c r="C14" i="4"/>
  <c r="B14" i="4"/>
  <c r="J13" i="4"/>
  <c r="B13" i="4"/>
  <c r="J12" i="4"/>
  <c r="C12" i="4"/>
  <c r="B12" i="4"/>
  <c r="F27" i="3"/>
  <c r="F26" i="3"/>
  <c r="F25" i="3"/>
  <c r="F24" i="3"/>
  <c r="F23" i="3"/>
  <c r="F22" i="3"/>
  <c r="F21" i="3"/>
  <c r="F20" i="3"/>
  <c r="F19" i="3"/>
  <c r="F18" i="3"/>
  <c r="F17" i="3"/>
  <c r="F16" i="3"/>
  <c r="F15" i="3"/>
  <c r="F14" i="3"/>
  <c r="F13" i="3"/>
  <c r="F12" i="3"/>
  <c r="F11" i="3"/>
  <c r="G7" i="9" l="1"/>
  <c r="F16" i="4" s="1"/>
  <c r="G7" i="11"/>
  <c r="F18" i="4" s="1"/>
  <c r="G7" i="15"/>
  <c r="F22" i="4" s="1"/>
  <c r="G7" i="19"/>
  <c r="F26" i="4" s="1"/>
  <c r="G7" i="21"/>
  <c r="F28" i="4" s="1"/>
  <c r="G7" i="6"/>
  <c r="F13" i="4" s="1"/>
  <c r="K26" i="4"/>
  <c r="G7" i="20"/>
  <c r="F27" i="4" s="1"/>
  <c r="C27" i="4"/>
  <c r="C30" i="4" s="1"/>
  <c r="G7" i="18"/>
  <c r="F25" i="4" s="1"/>
  <c r="E30" i="4"/>
  <c r="N6" i="4" s="1"/>
  <c r="K16" i="4"/>
  <c r="K19" i="4"/>
  <c r="G30" i="4"/>
  <c r="C34" i="4" s="1"/>
  <c r="K22" i="4"/>
  <c r="K25" i="4"/>
  <c r="K28" i="4"/>
  <c r="G7" i="16"/>
  <c r="F23" i="4" s="1"/>
  <c r="H30" i="4"/>
  <c r="C35" i="4" s="1"/>
  <c r="G7" i="13"/>
  <c r="F20" i="4" s="1"/>
  <c r="I30" i="4"/>
  <c r="C36" i="4" s="1"/>
  <c r="G7" i="5"/>
  <c r="F12" i="4" s="1"/>
  <c r="J30" i="4"/>
  <c r="N8" i="4" s="1"/>
  <c r="K15" i="4"/>
  <c r="K18" i="4"/>
  <c r="K21" i="4"/>
  <c r="D23" i="4"/>
  <c r="K23" i="4" s="1"/>
  <c r="G7" i="7"/>
  <c r="F14" i="4" s="1"/>
  <c r="G7" i="17"/>
  <c r="F24" i="4" s="1"/>
  <c r="K24" i="4"/>
  <c r="D13" i="4"/>
  <c r="K13" i="4" s="1"/>
  <c r="K14" i="4"/>
  <c r="K17" i="4"/>
  <c r="K20" i="4"/>
  <c r="G7" i="8"/>
  <c r="F15" i="4" s="1"/>
  <c r="G7" i="10"/>
  <c r="F17" i="4" s="1"/>
  <c r="G7" i="12"/>
  <c r="F19" i="4" s="1"/>
  <c r="G7" i="14"/>
  <c r="F21" i="4" s="1"/>
  <c r="K12" i="4"/>
  <c r="N13" i="4" l="1"/>
  <c r="N12" i="4"/>
  <c r="F30" i="4"/>
  <c r="N7" i="4" s="1"/>
  <c r="N4" i="4"/>
  <c r="N11" i="4"/>
  <c r="K27" i="4"/>
  <c r="D30" i="4"/>
  <c r="N5" i="4" s="1"/>
  <c r="C32" i="4" l="1"/>
  <c r="C33" i="4"/>
  <c r="C37" i="4"/>
  <c r="K30" i="4"/>
</calcChain>
</file>

<file path=xl/sharedStrings.xml><?xml version="1.0" encoding="utf-8"?>
<sst xmlns="http://schemas.openxmlformats.org/spreadsheetml/2006/main" count="5338" uniqueCount="2879">
  <si>
    <t>HƯỚNG DẪN SỬ DỤNG BỘ TEST CASE PRODUCTION — AILAB SURVEY</t>
  </si>
  <si>
    <t>1. Mục tiêu</t>
  </si>
  <si>
    <t>Bộ test dùng để người khác trực tiếp dùng hệ thống và xác nhận từng chức năng. Không phải bộ test nội dung bài kiểm tra.</t>
  </si>
  <si>
    <t>2. Thứ tự sử dụng</t>
  </si>
  <si>
    <t>Cover → FunctionList → Test Report → UT01…UT17. Bài mẫu chỉ minh họa cách đọc ma trận và không được tính vào report.</t>
  </si>
  <si>
    <t>3. Một nguồn test duy nhất</t>
  </si>
  <si>
    <t>Mỗi test case chỉ tồn tại một lần trong đúng sheet chức năng. Không có bộ UAT riêng và không lặp bảng chi tiết phía dưới.</t>
  </si>
  <si>
    <t>4. Loại test</t>
  </si>
  <si>
    <t>N = Normal: luồng đúng; A = Abnormal: dữ liệu/quyền/lỗi; B = Boundary: giá trị biên.</t>
  </si>
  <si>
    <t>5. Trạng thái</t>
  </si>
  <si>
    <t>Passed = đúng kỳ vọng; Failed = sai kỳ vọng; Blocked = chưa thể chạy do môi trường/feature. Ô trống = Untested.</t>
  </si>
  <si>
    <t>6. Cách chạy một cột test</t>
  </si>
  <si>
    <t>Đọc từ trên xuống: Tình huống → Tiền điều kiện → Input 1/2 → Bước 1…4 → Kết quả mong đợi → Lỗi/Thông báo → Điểm kiểm tra.</t>
  </si>
  <si>
    <t>7. Khi Failed</t>
  </si>
  <si>
    <t>Ghi Defect ID ở dòng cuối; bằng chứng ảnh/log dùng cùng Defect ID. Không sửa Expected Result để khớp lỗi thực tế.</t>
  </si>
  <si>
    <t>8. Khi Blocked</t>
  </si>
  <si>
    <t>Ghi lý do ngoài file hoặc trong Defect ID. Riêng AI Result Chat: nếu build chưa có feature, đánh Blocked, không đánh Failed.</t>
  </si>
  <si>
    <t>9. Tiêu chí chấp nhận release</t>
  </si>
  <si>
    <t>Không còn Failed Critical chưa xử lý; Blocked có quyết định rõ; coverage đạt kế hoạch; các luồng core tạo survey, import, response, analysis và quyền đã chạy.</t>
  </si>
  <si>
    <t>10. Nguồn mã</t>
  </si>
  <si>
    <t>Bộ test bám snapshot mã nguồn; trạng thái Verified/Partial/GAP được ghi trực tiếp trong FunctionList và metadata từng UT.</t>
  </si>
  <si>
    <t>Repository</t>
  </si>
  <si>
    <t>https://github.com/Royal2005-coder/formailab</t>
  </si>
  <si>
    <t>Source commit</t>
  </si>
  <si>
    <t>ef92d78aa86916e6fbf4bc8a43044a4a4328154d</t>
  </si>
  <si>
    <t>Snapshot URL</t>
  </si>
  <si>
    <t>https://github.com/Royal2005-coder/formailab/tree/ef92d78aa86916e6fbf4bc8a43044a4a4328154d</t>
  </si>
  <si>
    <t>11. Bảng phân lớp VP/IP/VB/IB</t>
  </si>
  <si>
    <t>Mỗi UT có bảng phụ bên phải để xác định miền hợp lệ, miền không hợp lệ, giá trị biên và ngay ngoài biên. Đây là cơ sở học thuật để chọn test data, không phải test case thứ hai.</t>
  </si>
  <si>
    <t>12. Bảng dữ liệu mẫu</t>
  </si>
  <si>
    <t>Bảng dữ liệu mẫu liên kết TC ID hiện có, giúp tester biết dữ liệu/thao tác nên nhập và expected result. Việc Passed/Failed/Blocked vẫn chỉ ghi ở ma trận chính.</t>
  </si>
  <si>
    <t>13. Nguyên tắc không nhân đôi</t>
  </si>
  <si>
    <t>Hai bảng phụ chỉ là tài liệu hỗ trợ thiết kế/thực thi; Test Report vẫn tính đúng 224 test case production hiện tại.</t>
  </si>
  <si>
    <t>AILAB SURVEY
UNIT TEST CASE</t>
  </si>
  <si>
    <t>Project Name</t>
  </si>
  <si>
    <t>FormaiLab — AI LAB Survey Engine</t>
  </si>
  <si>
    <t>Creator</t>
  </si>
  <si>
    <t>QA / UAT Team</t>
  </si>
  <si>
    <t>Project Code</t>
  </si>
  <si>
    <t>AILAB-AUT</t>
  </si>
  <si>
    <t>Reviewer/Approver</t>
  </si>
  <si>
    <t>Document Code</t>
  </si>
  <si>
    <t>AILAB-AUT-UTC-v5.0</t>
  </si>
  <si>
    <t>Issue Date</t>
  </si>
  <si>
    <t>Version</t>
  </si>
  <si>
    <t>5.0</t>
  </si>
  <si>
    <t>Source Commit</t>
  </si>
  <si>
    <t>Record of change</t>
  </si>
  <si>
    <t>Effective Date</t>
  </si>
  <si>
    <t>Change Item</t>
  </si>
  <si>
    <t>*A,D,M</t>
  </si>
  <si>
    <t>Change description</t>
  </si>
  <si>
    <t>Reference</t>
  </si>
  <si>
    <t>M</t>
  </si>
  <si>
    <t>Unified production test case</t>
  </si>
  <si>
    <t>Total production test cases</t>
  </si>
  <si>
    <t>UNIT TEST CASE LIST</t>
  </si>
  <si>
    <t>Normal number of Test cases/KLOC</t>
  </si>
  <si>
    <t>Test Environment Setup Description</t>
  </si>
  <si>
    <t>Local/Staging/Prod-like; Chrome/Edge; PostgreSQL; Redis; Storage; SMTP; AI provider khi test AI.</t>
  </si>
  <si>
    <t>No</t>
  </si>
  <si>
    <t>Requirement Name</t>
  </si>
  <si>
    <t>Class Name</t>
  </si>
  <si>
    <t>Function Name</t>
  </si>
  <si>
    <t>Function Code(Optional)</t>
  </si>
  <si>
    <t>Sheet Name</t>
  </si>
  <si>
    <t>Description</t>
  </si>
  <si>
    <t>Pre-Condition</t>
  </si>
  <si>
    <t>Kiểm tra đăng nhập, đăng ký, quên mật khẩu, OAuth, đăng xuất và bảo vệ route.</t>
  </si>
  <si>
    <t>AuthModule</t>
  </si>
  <si>
    <t>Xác thực &amp; Phiên đăng nhập</t>
  </si>
  <si>
    <t>AUTH-001</t>
  </si>
  <si>
    <t>Xác thực người dùng từ góc nhìn end user; bao phủ luồng đúng, lỗi nhập liệu và phiên truy cập.
Verified | apps/web/modules/auth</t>
  </si>
  <si>
    <t>Ứng dụng, DB và email/OAuth test đã cấu hình theo từng case.</t>
  </si>
  <si>
    <t>Kiểm tra vòng đời tổ chức, mời thành viên, vai trò, nhóm và quyền quản trị tổ chức.</t>
  </si>
  <si>
    <t>OrganizationModule</t>
  </si>
  <si>
    <t>Tổ chức, Thành viên &amp; Nhóm</t>
  </si>
  <si>
    <t>ORG-001</t>
  </si>
  <si>
    <t>Quản trị organization và membership ở mức người dùng/manager.
Verified | apps/web/modules/organization</t>
  </si>
  <si>
    <t>Đã đăng nhập; chuẩn bị tài khoản Owner, Manager và Member.</t>
  </si>
  <si>
    <t>Kiểm tra CRUD workspace, chuyển context, read/readWrite và cách ly dữ liệu giữa workspace.</t>
  </si>
  <si>
    <t>WorkspaceAccessModule</t>
  </si>
  <si>
    <t>Workspace &amp; Phân quyền truy cập</t>
  </si>
  <si>
    <t>WKSP-001</t>
  </si>
  <si>
    <t>Hợp nhất kiểm thử Workspace và RBAC để tránh lặp case quyền ở nhiều nơi.
Verified | apps/web/app/(app)/workspaces</t>
  </si>
  <si>
    <t>Có organization và tối thiểu hai workspace A/B; tài khoản nhiều mức quyền.</t>
  </si>
  <si>
    <t>Kiểm tra hành trình từ workspace đến Surveys, AI LAB, Responses và Analysis.</t>
  </si>
  <si>
    <t>NavigationModule</t>
  </si>
  <si>
    <t>Dashboard, Danh sách &amp; Điều hướng</t>
  </si>
  <si>
    <t>NAV-001</t>
  </si>
  <si>
    <t>Điều hướng, empty state, browser navigation và tính nhất quán context.
Verified | apps/web/modules/survey/list/components/survey-list.tsx</t>
  </si>
  <si>
    <t>Có tài khoản, workspace và dữ liệu survey theo từng case.</t>
  </si>
  <si>
    <t>Kiểm tra vòng đời survey thủ công từ tạo mới đến câu hỏi, preview, publish, archive và xóa.</t>
  </si>
  <si>
    <t>SurveyModule</t>
  </si>
  <si>
    <t>Tạo khảo sát thủ công, Editor &amp; Publish</t>
  </si>
  <si>
    <t>SURV-001</t>
  </si>
  <si>
    <t>Module survey duy nhất, thay cho UT_KhaoSat và UT_SurveyManual trước đây.
Verified | apps/web/modules/survey</t>
  </si>
  <si>
    <t>User có quyền readWrite trong workspace.</t>
  </si>
  <si>
    <t>Kiểm tra import ngân hàng câu hỏi: validate, diagnostics, preview, commit, checksum và idempotency.</t>
  </si>
  <si>
    <t>AiLabImportModule</t>
  </si>
  <si>
    <t>Import CSV/XLS/XLSX, Preview &amp; Commit</t>
  </si>
  <si>
    <t>IMP-001</t>
  </si>
  <si>
    <t>Luồng AI LAB Survey Import đã xác minh ở actions/actions.schema.
Verified | apps/web/modules/ai-lab-survey/actions.ts</t>
  </si>
  <si>
    <t>Workspace tồn tại; user có quyền phù hợp; có file fixture.</t>
  </si>
  <si>
    <t>Kiểm tra cấu trúc test bank và Adaptive Engine sau import từ góc nhìn end user.</t>
  </si>
  <si>
    <t>AdaptiveTestBankModule</t>
  </si>
  <si>
    <t>Test Bank, Relevance, Score &amp; Routing</t>
  </si>
  <si>
    <t>TB-001</t>
  </si>
  <si>
    <t>Group/Question/Option, matrix, score variable, relevance và route boundary.
Verified | packages/survey-compiler/src/import-csv.ts</t>
  </si>
  <si>
    <t>Có fixture test bank CSV/XLSX hợp lệ hoặc cố ý lỗi.</t>
  </si>
  <si>
    <t>Kiểm tra người trả lời mở survey, nhập dữ liệu, gửi, cập nhật trạng thái và tính toàn vẹn response.</t>
  </si>
  <si>
    <t>ResponseModule</t>
  </si>
  <si>
    <t>Public Survey, Response &amp; Submission</t>
  </si>
  <si>
    <t>RESP-001</t>
  </si>
  <si>
    <t>Tập trung outcome người trả lời; không lặp phần editor.
Verified | apps/web/lib/response/service.ts</t>
  </si>
  <si>
    <t>Survey đã publish và có public link.</t>
  </si>
  <si>
    <t>Kiểm tra tổng quan phản hồi, bộ lọc, KPI, biểu đồ và export dữ liệu.</t>
  </si>
  <si>
    <t>AnalysisModule</t>
  </si>
  <si>
    <t>Phân tích, Insights, Chart &amp; Export</t>
  </si>
  <si>
    <t>ANLY-001</t>
  </si>
  <si>
    <t>Hợp nhất UT_PhanTich và UT_InsightsExport; một nguồn report duy nhất.
Verified/Risk | apps/web/modules/ai-lab-survey/components/insights-dashboard.tsx</t>
  </si>
  <si>
    <t>Survey/AI LAB có fixture responses biết trước.</t>
  </si>
  <si>
    <t>Kiểm tra AI tạo survey bằng prompt và file context, boundary prompt, entitlement và lỗi provider.</t>
  </si>
  <si>
    <t>AIGenerateModule</t>
  </si>
  <si>
    <t>AI Native - Tạo Survey từ mô tả/tài liệu</t>
  </si>
  <si>
    <t>AI-GEN-001</t>
  </si>
  <si>
    <t>AI survey generation qua V3 payload validation và editor.
Verified | apps/web/modules/survey/components/template-list/components/create-with-ai-form.tsx</t>
  </si>
  <si>
    <t>AI provider/entitlement cấu hình theo từng case.</t>
  </si>
  <si>
    <t>Kiểm tra availability, quyền và dịch survey đa ngôn ngữ bằng AI.</t>
  </si>
  <si>
    <t>AITranslationModule</t>
  </si>
  <si>
    <t>AI Native - Dịch khảo sát</t>
  </si>
  <si>
    <t>AI-TR-001</t>
  </si>
  <si>
    <t>AI Translation ở cấp field, giữ source và target rõ ràng.
Verified | apps/web/modules/ee/ai-translation/lib/actions.ts</t>
  </si>
  <si>
    <t>Survey có nội dung nguồn; AI config theo case.</t>
  </si>
  <si>
    <t>Kiểm tra hiển thị enrichment sentiment/emotions trên feedback record.</t>
  </si>
  <si>
    <t>AISentimentModule</t>
  </si>
  <si>
    <t>AI Native - Sentiment &amp; Emotions</t>
  </si>
  <si>
    <t>AI-SEN-001</t>
  </si>
  <si>
    <t>UI enrichment read-only; pipeline tạo enrichment được đánh Partial nếu môi trường chưa có job AI.
Partial | apps/web/modules/ee/unify-feedback/components/feedback-record-form-drawer.tsx</t>
  </si>
  <si>
    <t>Có Unify Feedback records đã/chưa enrichment.</t>
  </si>
  <si>
    <t>Kiểm tra gate dữ liệu, embedding, generate taxonomy và quản trị node.</t>
  </si>
  <si>
    <t>AITaxonomyModule</t>
  </si>
  <si>
    <t>AI Native - Topic/Subtopic Tree</t>
  </si>
  <si>
    <t>AI-TOP-001</t>
  </si>
  <si>
    <t>Cây chủ đề/subtopic trên open-text feedback; boundary 750 và embedding threshold 50.
Verified | apps/web/modules/ee/unify-feedback/topics-subtopics/components/topics-subtopics-container.tsx</t>
  </si>
  <si>
    <t>Có Unify Feedback directory và fixture counts theo case.</t>
  </si>
  <si>
    <t>Acceptance contract cho hỏi-đáp trên dữ liệu survey; nếu build chưa có entry point thì đánh Blocked.</t>
  </si>
  <si>
    <t>AIResultChatModule</t>
  </si>
  <si>
    <t>AI Native - Chat với kết quả khảo sát</t>
  </si>
  <si>
    <t>AI-CHAT-001</t>
  </si>
  <si>
    <t>Không giả định implementation chưa xác minh. Tab này nằm trong cùng bộ test để quản lý gap production.
GAP | GAP: chưa xác minh code path</t>
  </si>
  <si>
    <t>Chỉ thực thi khi build có AI Chat trên Results/Analysis.</t>
  </si>
  <si>
    <t>Kiểm tra webhook và các kết nối ngoài theo quyền, callback, lỗi và thu hồi kết nối.</t>
  </si>
  <si>
    <t>IntegrationModule</t>
  </si>
  <si>
    <t>Webhook &amp; Tích hợp ngoài</t>
  </si>
  <si>
    <t>INTG-001</t>
  </si>
  <si>
    <t>Webhook + OAuth integrations như Slack/Notion/Airtable/Google Sheets theo cấu hình build.
Verified | apps/web/modules/integrations</t>
  </si>
  <si>
    <t>Có workspace quyền quản trị và sandbox account của dịch vụ ngoài.</t>
  </si>
  <si>
    <t>Kiểm tra xác thực API, CRUD survey/response, validation, phân quyền, pagination và rate/error contract.</t>
  </si>
  <si>
    <t>APIModule</t>
  </si>
  <si>
    <t>REST API v1/v3 &amp; API Key</t>
  </si>
  <si>
    <t>API-001</t>
  </si>
  <si>
    <t>Acceptance API ở mức consumer; dùng API key test.
Verified | apps/web/app/api</t>
  </si>
  <si>
    <t>App đang chạy; có API key và tool HTTP/Postman/curl.</t>
  </si>
  <si>
    <t>Kiểm tra upload/download/delete file, signed URL và các email hệ thống chính.</t>
  </si>
  <si>
    <t>StorageEmailModule</t>
  </si>
  <si>
    <t>Lưu trữ file &amp; Email hệ thống</t>
  </si>
  <si>
    <t>STGE-001</t>
  </si>
  <si>
    <t>Storage + SMTP acceptance ở mức end user/admin.
Verified | apps/web/modules</t>
  </si>
  <si>
    <t>S3/local storage và SMTP test đã cấu hình.</t>
  </si>
  <si>
    <t>UNIT TEST REPORT</t>
  </si>
  <si>
    <t>Status</t>
  </si>
  <si>
    <t>Count</t>
  </si>
  <si>
    <t>Passed</t>
  </si>
  <si>
    <t>Failed</t>
  </si>
  <si>
    <t>Blocked</t>
  </si>
  <si>
    <t>Notes</t>
  </si>
  <si>
    <t>Một bộ test duy nhất theo template; Bài mẫu không tính vào báo cáo.</t>
  </si>
  <si>
    <t>Environment</t>
  </si>
  <si>
    <t>Local / Staging / Prod-like</t>
  </si>
  <si>
    <t>Untested</t>
  </si>
  <si>
    <t>Total</t>
  </si>
  <si>
    <t>Test Type</t>
  </si>
  <si>
    <t>Function code</t>
  </si>
  <si>
    <t>N</t>
  </si>
  <si>
    <t>A</t>
  </si>
  <si>
    <t>B</t>
  </si>
  <si>
    <t>Total Test Cases</t>
  </si>
  <si>
    <t>Coverage</t>
  </si>
  <si>
    <t>Normal (N)</t>
  </si>
  <si>
    <t>Abnormal (A)</t>
  </si>
  <si>
    <t>Boundary (B)</t>
  </si>
  <si>
    <t>Sub total</t>
  </si>
  <si>
    <t>Test coverage</t>
  </si>
  <si>
    <t>Test successful coverage</t>
  </si>
  <si>
    <t>Normal case coverage</t>
  </si>
  <si>
    <t>Abnormal case coverage</t>
  </si>
  <si>
    <t>Boundary case coverage</t>
  </si>
  <si>
    <t>Release status</t>
  </si>
  <si>
    <t>Function Code</t>
  </si>
  <si>
    <t>BẢNG PHÂN LỚP TƯƠNG ĐƯƠNG &amp; GIÁ TRỊ BIÊN</t>
  </si>
  <si>
    <t>Created By</t>
  </si>
  <si>
    <t>Executed By</t>
  </si>
  <si>
    <t>Điều kiện (Condition)</t>
  </si>
  <si>
    <t>VP – Lớp hợp lệ</t>
  </si>
  <si>
    <t>IP – Lớp không hợp lệ</t>
  </si>
  <si>
    <t>VB – Biên hợp lệ</t>
  </si>
  <si>
    <t>IB – Ngoài biên</t>
  </si>
  <si>
    <t>Source / Status</t>
  </si>
  <si>
    <t>Verified | https://github.com/Royal2005-coder/formailab/tree/ef92d78aa86916e6fbf4bc8a43044a4a4328154d/apps/web/modules/auth</t>
  </si>
  <si>
    <t>Thông tin đăng nhập</t>
  </si>
  <si>
    <t>Email tồn tại + mật khẩu đúng</t>
  </si>
  <si>
    <t>Email không tồn tại / mật khẩu sai</t>
  </si>
  <si>
    <t>Dữ liệu vừa đủ để form cho submit</t>
  </si>
  <si>
    <t>Bỏ trống trường bắt buộc</t>
  </si>
  <si>
    <t>Test requirement</t>
  </si>
  <si>
    <t>Định dạng email</t>
  </si>
  <si>
    <t>Email đúng cú pháp</t>
  </si>
  <si>
    <t>Email sai cú pháp</t>
  </si>
  <si>
    <t>Địa chỉ ngắn nhất vẫn đúng cú pháp theo validator</t>
  </si>
  <si>
    <t>Thiếu phần local/domain</t>
  </si>
  <si>
    <t>Mật khẩu</t>
  </si>
  <si>
    <t>Đạt chính sách hệ thống</t>
  </si>
  <si>
    <t>Không đạt chính sách</t>
  </si>
  <si>
    <t>Đúng ngưỡng tối thiểu theo cấu hình</t>
  </si>
  <si>
    <t>Ngắn hơn ngưỡng 1 ký tự</t>
  </si>
  <si>
    <t>Token đặt lại mật khẩu</t>
  </si>
  <si>
    <t>Token hợp lệ, còn hiệu lực</t>
  </si>
  <si>
    <t>Token sai / đã dùng</t>
  </si>
  <si>
    <t>Ngay trước thời điểm hết hạn</t>
  </si>
  <si>
    <t>Vừa quá thời điểm hết hạn</t>
  </si>
  <si>
    <t>Phiên đăng nhập</t>
  </si>
  <si>
    <t>Session hợp lệ</t>
  </si>
  <si>
    <t>Session không tồn tại</t>
  </si>
  <si>
    <t>Ngay trước khi session hết hiệu lực</t>
  </si>
  <si>
    <t>Session đã hết hiệu lực</t>
  </si>
  <si>
    <t>AUTH-002</t>
  </si>
  <si>
    <t>AUTH-003</t>
  </si>
  <si>
    <t>AUTH-004</t>
  </si>
  <si>
    <t>AUTH-005</t>
  </si>
  <si>
    <t>AUTH-006</t>
  </si>
  <si>
    <t>AUTH-007</t>
  </si>
  <si>
    <t>AUTH-008</t>
  </si>
  <si>
    <t>AUTH-009</t>
  </si>
  <si>
    <t>AUTH-010</t>
  </si>
  <si>
    <t>AUTH-011</t>
  </si>
  <si>
    <t>AUTH-012</t>
  </si>
  <si>
    <t>Quy ước: VP = Valid Partition (phân lớp hợp lệ); IP = Invalid Partition (phân lớp không hợp lệ); VB = Valid Boundary (giá trị biên hợp lệ); IB = Invalid/Outside Boundary (ngay ngoài biên). Nếu chức năng không có ngưỡng số cố định, biên được xác định theo validator/quyền/trạng thái cấu hình của hệ thống.</t>
  </si>
  <si>
    <t>Condition</t>
  </si>
  <si>
    <t>Tình huống</t>
  </si>
  <si>
    <t>Đăng nhập đúng email và mật khẩu</t>
  </si>
  <si>
    <t>Sai mật khẩu</t>
  </si>
  <si>
    <t>Email chưa đăng ký</t>
  </si>
  <si>
    <t>Đăng xuất</t>
  </si>
  <si>
    <t>Đăng ký tài khoản hợp lệ</t>
  </si>
  <si>
    <t>Đăng ký bằng email đã tồn tại</t>
  </si>
  <si>
    <t>Mật khẩu không đạt yêu cầu</t>
  </si>
  <si>
    <t>Yêu cầu quên mật khẩu</t>
  </si>
  <si>
    <t>Reset link hết hạn/không hợp lệ</t>
  </si>
  <si>
    <t>Đăng nhập OAuth thành công</t>
  </si>
  <si>
    <t>Truy cập route bảo vệ khi chưa đăng nhập</t>
  </si>
  <si>
    <t>Tiền điều kiện</t>
  </si>
  <si>
    <t>Có tài khoản đang hoạt động</t>
  </si>
  <si>
    <t>Có tài khoản hợp lệ</t>
  </si>
  <si>
    <t>Không có tài khoản tương ứng</t>
  </si>
  <si>
    <t>Trang đăng nhập mở được</t>
  </si>
  <si>
    <t>Đã đăng nhập</t>
  </si>
  <si>
    <t>Cho phép đăng ký</t>
  </si>
  <si>
    <t>Email đã có tài khoản</t>
  </si>
  <si>
    <t>Cho phép đăng ký/đổi mật khẩu</t>
  </si>
  <si>
    <t>Email tồn tại; SMTP test hoạt động</t>
  </si>
  <si>
    <t>Có link reset lỗi/hết hạn</t>
  </si>
  <si>
    <t>OAuth test cấu hình</t>
  </si>
  <si>
    <t>Không có session</t>
  </si>
  <si>
    <t>Input 1</t>
  </si>
  <si>
    <t>Email + mật khẩu hợp lệ</t>
  </si>
  <si>
    <t>Email đúng</t>
  </si>
  <si>
    <t>Email chưa tồn tại</t>
  </si>
  <si>
    <t>Email hoặc mật khẩu trống</t>
  </si>
  <si>
    <t>Thao tác Đăng xuất</t>
  </si>
  <si>
    <t>Email mới hợp lệ</t>
  </si>
  <si>
    <t>Email trùng</t>
  </si>
  <si>
    <t>Mật khẩu quá ngắn/yếu</t>
  </si>
  <si>
    <t>Email hợp lệ</t>
  </si>
  <si>
    <t>Token hết hạn</t>
  </si>
  <si>
    <t>Provider hợp lệ</t>
  </si>
  <si>
    <t>URL workspace/survey bảo vệ</t>
  </si>
  <si>
    <t>BẢNG DỮ LIỆU MẪU THỰC THI — KHÔNG TẠO TEST CASE ĐỘC LẬP</t>
  </si>
  <si>
    <t>Input 2</t>
  </si>
  <si>
    <t>Tài khoản active</t>
  </si>
  <si>
    <t>Mật khẩu sai</t>
  </si>
  <si>
    <t>Mật khẩu bất kỳ</t>
  </si>
  <si>
    <t>-</t>
  </si>
  <si>
    <t>Session hiện tại</t>
  </si>
  <si>
    <t>Mật khẩu đạt yêu cầu</t>
  </si>
  <si>
    <t>Mật khẩu hợp lệ</t>
  </si>
  <si>
    <t>Forgot password</t>
  </si>
  <si>
    <t>Mật khẩu mới hợp lệ</t>
  </si>
  <si>
    <t>User cho phép consent</t>
  </si>
  <si>
    <t>#</t>
  </si>
  <si>
    <t>Loại test case</t>
  </si>
  <si>
    <t>Dữ liệu nhập / thao tác mẫu</t>
  </si>
  <si>
    <t>Kết quả mong đợi</t>
  </si>
  <si>
    <t>TC ID</t>
  </si>
  <si>
    <t>Confirm</t>
  </si>
  <si>
    <t>Bước 1</t>
  </si>
  <si>
    <t>Mở trang Đăng nhập</t>
  </si>
  <si>
    <t>Mở Đăng nhập</t>
  </si>
  <si>
    <t>Để trống một trường</t>
  </si>
  <si>
    <t>Mở menu tài khoản</t>
  </si>
  <si>
    <t>Mở Đăng ký</t>
  </si>
  <si>
    <t>Nhập mật khẩu không đạt chuẩn</t>
  </si>
  <si>
    <t>Mở Quên mật khẩu</t>
  </si>
  <si>
    <t>Mở link reset</t>
  </si>
  <si>
    <t>Chọn đăng nhập OAuth</t>
  </si>
  <si>
    <t>Mở trực tiếp URL bảo vệ</t>
  </si>
  <si>
    <t>N – Bình thường</t>
  </si>
  <si>
    <t>Input 1: Email + mật khẩu hợp lệ | Input 2: Tài khoản active</t>
  </si>
  <si>
    <t>Đăng nhập thành công và vào đúng workspace.</t>
  </si>
  <si>
    <t>Bước 2</t>
  </si>
  <si>
    <t>Nhập email và mật khẩu</t>
  </si>
  <si>
    <t>Nhập email đúng và mật khẩu sai</t>
  </si>
  <si>
    <t>Nhập dữ liệu</t>
  </si>
  <si>
    <t>Bấm Đăng nhập</t>
  </si>
  <si>
    <t>Bấm Đăng xuất</t>
  </si>
  <si>
    <t>Nhập thông tin</t>
  </si>
  <si>
    <t>Nhập email trùng</t>
  </si>
  <si>
    <t>Submit</t>
  </si>
  <si>
    <t>Nhập email</t>
  </si>
  <si>
    <t>Nhập mật khẩu mới</t>
  </si>
  <si>
    <t>Hoàn tất consent</t>
  </si>
  <si>
    <t>Quan sát redirect</t>
  </si>
  <si>
    <t>A – Bất thường</t>
  </si>
  <si>
    <t>Input 1: Email đúng | Input 2: Mật khẩu sai</t>
  </si>
  <si>
    <t>Không đăng nhập; thông báo lỗi rõ ràng.</t>
  </si>
  <si>
    <t>Bước 3</t>
  </si>
  <si>
    <t>Quan sát validation</t>
  </si>
  <si>
    <t>Chờ redirect</t>
  </si>
  <si>
    <t>Xác nhận đăng ký</t>
  </si>
  <si>
    <t>Bấm tạo tài khoản</t>
  </si>
  <si>
    <t>Đọc validation</t>
  </si>
  <si>
    <t>Gửi yêu cầu</t>
  </si>
  <si>
    <t>Chờ callback</t>
  </si>
  <si>
    <t>Không đăng nhập</t>
  </si>
  <si>
    <t>Input 1: Email chưa tồn tại | Input 2: Mật khẩu bất kỳ</t>
  </si>
  <si>
    <t>Không đăng nhập; không lộ thông tin nhạy cảm về tài khoản.</t>
  </si>
  <si>
    <t>Bước 4</t>
  </si>
  <si>
    <t>Mở một trang trong workspace</t>
  </si>
  <si>
    <t>Quan sát thông báo</t>
  </si>
  <si>
    <t>Quan sát kết quả</t>
  </si>
  <si>
    <t>Thử lại trường còn lại</t>
  </si>
  <si>
    <t>Mở lại URL bảo vệ</t>
  </si>
  <si>
    <t>Thực hiện bước xác minh nếu có</t>
  </si>
  <si>
    <t>Sửa thành mật khẩu hợp lệ</t>
  </si>
  <si>
    <t>Kiểm tra inbox test</t>
  </si>
  <si>
    <t>Mở workspace</t>
  </si>
  <si>
    <t>Thử refresh</t>
  </si>
  <si>
    <t>B – Giá trị biên</t>
  </si>
  <si>
    <t>Input 1: Email hoặc mật khẩu trống | Input 2: -</t>
  </si>
  <si>
    <t>Form chặn submit và chỉ rõ trường bắt buộc.</t>
  </si>
  <si>
    <t>Session bị kết thúc; URL bảo vệ yêu cầu đăng nhập lại.</t>
  </si>
  <si>
    <t>Tài khoản được tạo theo flow cấu hình.</t>
  </si>
  <si>
    <t>Không tạo tài khoản thứ hai.</t>
  </si>
  <si>
    <t>Hệ thống chặn dữ liệu không đạt chính sách và cho phép sửa.</t>
  </si>
  <si>
    <t>Hệ thống xác nhận và gửi email reset theo cấu hình.</t>
  </si>
  <si>
    <t>Không đổi mật khẩu; hướng dẫn tạo yêu cầu mới.</t>
  </si>
  <si>
    <t>Đăng nhập thành công và mapping đúng tài khoản.</t>
  </si>
  <si>
    <t>Bị chuyển về đăng nhập/unauthorized; không lộ dữ liệu.</t>
  </si>
  <si>
    <t>Input 1: Thao tác Đăng xuất | Input 2: Session hiện tại</t>
  </si>
  <si>
    <t>Lỗi / Thông báo</t>
  </si>
  <si>
    <t>Sai thông tin đăng nhập</t>
  </si>
  <si>
    <t>Thông tin đăng nhập không hợp lệ</t>
  </si>
  <si>
    <t>Trường bắt buộc</t>
  </si>
  <si>
    <t>Email đã được sử dụng hoặc thông báo tương đương</t>
  </si>
  <si>
    <t>Mật khẩu không hợp lệ</t>
  </si>
  <si>
    <t>Link không hợp lệ hoặc hết hạn</t>
  </si>
  <si>
    <t>Authentication required</t>
  </si>
  <si>
    <t>Input 1: Email mới hợp lệ | Input 2: Mật khẩu đạt yêu cầu</t>
  </si>
  <si>
    <t>Điểm kiểm tra</t>
  </si>
  <si>
    <t>Không tạo phiên trùng bất thường</t>
  </si>
  <si>
    <t>Không tạo session</t>
  </si>
  <si>
    <t>Không lộ dữ liệu user khác</t>
  </si>
  <si>
    <t>Không gửi request không cần thiết</t>
  </si>
  <si>
    <t>Không truy cập dữ liệu sau logout</t>
  </si>
  <si>
    <t>Không tạo trùng</t>
  </si>
  <si>
    <t>Số user không tăng</t>
  </si>
  <si>
    <t>Không lưu mật khẩu lỗi</t>
  </si>
  <si>
    <t>Email/link liên quan đúng user</t>
  </si>
  <si>
    <t>Mật khẩu cũ vẫn dùng theo trạng thái trước</t>
  </si>
  <si>
    <t>Không tạo tài khoản trùng ngoài thiết kế</t>
  </si>
  <si>
    <t>Không có nội dung riêng tư trong trang</t>
  </si>
  <si>
    <t>Input 1: Email trùng | Input 2: Mật khẩu hợp lệ</t>
  </si>
  <si>
    <t>Result</t>
  </si>
  <si>
    <t>Type (N: Normal, A: Abnormal, B: Boundary)</t>
  </si>
  <si>
    <t>Input 1: Mật khẩu quá ngắn/yếu | Input 2: Email hợp lệ</t>
  </si>
  <si>
    <t>Passed / Failed / Blocked</t>
  </si>
  <si>
    <t>Input 1: Email hợp lệ | Input 2: Forgot password</t>
  </si>
  <si>
    <t>Executed Date</t>
  </si>
  <si>
    <t>Input 1: Token hết hạn | Input 2: Mật khẩu mới hợp lệ</t>
  </si>
  <si>
    <t>Defect ID</t>
  </si>
  <si>
    <t>Input 1: Provider hợp lệ | Input 2: User cho phép consent</t>
  </si>
  <si>
    <t>Input 1: URL workspace/survey bảo vệ | Input 2: -</t>
  </si>
  <si>
    <t>Verified | https://github.com/Royal2005-coder/formailab/tree/ef92d78aa86916e6fbf4bc8a43044a4a4328154d/apps/web/modules/organization</t>
  </si>
  <si>
    <t>Email mời thành viên</t>
  </si>
  <si>
    <t>Email mới, đúng định dạng</t>
  </si>
  <si>
    <t>Email sai / đã là thành viên</t>
  </si>
  <si>
    <t>Invitation còn hiệu lực</t>
  </si>
  <si>
    <t>Invitation vừa hết hạn</t>
  </si>
  <si>
    <t>Vai trò thành viên</t>
  </si>
  <si>
    <t>Role được phép theo quyền người thao tác</t>
  </si>
  <si>
    <t>Role/ thao tác vượt quyền</t>
  </si>
  <si>
    <t>Thay đổi role nhưng tổ chức vẫn còn ≥1 owner</t>
  </si>
  <si>
    <t>Cố loại/hạ quyền owner cuối cùng</t>
  </si>
  <si>
    <t>Số Owner còn lại</t>
  </si>
  <si>
    <t>≥2 owner trước khi remove 1</t>
  </si>
  <si>
    <t>Trạng thái không hợp lệ: 0 owner</t>
  </si>
  <si>
    <t>2 owner → remove 1, còn 1</t>
  </si>
  <si>
    <t>1 owner → cố remove owner cuối</t>
  </si>
  <si>
    <t>Tên tổ chức/nhóm</t>
  </si>
  <si>
    <t>Có nội dung hợp lệ</t>
  </si>
  <si>
    <t>Rỗng / không hợp lệ</t>
  </si>
  <si>
    <t>Giá trị vừa đủ theo validator</t>
  </si>
  <si>
    <t>Ngoài giới hạn validator</t>
  </si>
  <si>
    <t>ORG-002</t>
  </si>
  <si>
    <t>ORG-003</t>
  </si>
  <si>
    <t>ORG-004</t>
  </si>
  <si>
    <t>ORG-005</t>
  </si>
  <si>
    <t>ORG-006</t>
  </si>
  <si>
    <t>ORG-007</t>
  </si>
  <si>
    <t>ORG-008</t>
  </si>
  <si>
    <t>ORG-009</t>
  </si>
  <si>
    <t>ORG-010</t>
  </si>
  <si>
    <t>ORG-011</t>
  </si>
  <si>
    <t>ORG-012</t>
  </si>
  <si>
    <t>Tạo tổ chức mới</t>
  </si>
  <si>
    <t>Đổi tên tổ chức</t>
  </si>
  <si>
    <t>Mời thành viên bằng email hợp lệ</t>
  </si>
  <si>
    <t>Mời email đã là thành viên</t>
  </si>
  <si>
    <t>Chấp nhận lời mời hợp lệ</t>
  </si>
  <si>
    <t>Invitation hết hạn/không hợp lệ</t>
  </si>
  <si>
    <t>Đổi vai trò thành viên</t>
  </si>
  <si>
    <t>Member thường không đổi role người khác</t>
  </si>
  <si>
    <t>Xóa thành viên khỏi tổ chức</t>
  </si>
  <si>
    <t>Không cho remove owner cuối cùng</t>
  </si>
  <si>
    <t>Tạo/đổi tên nhóm hoặc team</t>
  </si>
  <si>
    <t>Trang billing chỉ người có quyền truy cập</t>
  </si>
  <si>
    <t>User có quyền tạo org</t>
  </si>
  <si>
    <t>Owner/Manager</t>
  </si>
  <si>
    <t>Có quyền mời</t>
  </si>
  <si>
    <t>Email đã thuộc org</t>
  </si>
  <si>
    <t>Có invitation còn hiệu lực</t>
  </si>
  <si>
    <t>Có link lỗi/hết hạn</t>
  </si>
  <si>
    <t>Owner/Manager; có member</t>
  </si>
  <si>
    <t>Đăng nhập member thường</t>
  </si>
  <si>
    <t>Owner/Manager; target member</t>
  </si>
  <si>
    <t>Chỉ còn 1 owner</t>
  </si>
  <si>
    <t>Org hỗ trợ nhóm/team; có quyền</t>
  </si>
  <si>
    <t>Có user manager/member</t>
  </si>
  <si>
    <t>Tên tổ chức hợp lệ</t>
  </si>
  <si>
    <t>Tên mới hợp lệ</t>
  </si>
  <si>
    <t>Email mới</t>
  </si>
  <si>
    <t>Email trùng member</t>
  </si>
  <si>
    <t>Invitation link</t>
  </si>
  <si>
    <t>Invitation token lỗi</t>
  </si>
  <si>
    <t>Member hiện tại</t>
  </si>
  <si>
    <t>Target member</t>
  </si>
  <si>
    <t>Member cần remove</t>
  </si>
  <si>
    <t>Owner cuối cùng</t>
  </si>
  <si>
    <t>Tên nhóm hợp lệ</t>
  </si>
  <si>
    <t>Billing settings</t>
  </si>
  <si>
    <t>Role/member permission</t>
  </si>
  <si>
    <t>Role bất kỳ</t>
  </si>
  <si>
    <t>Tài khoản đúng email</t>
  </si>
  <si>
    <t>Role mới</t>
  </si>
  <si>
    <t>Thao tác đổi role</t>
  </si>
  <si>
    <t>Remove</t>
  </si>
  <si>
    <t>Members</t>
  </si>
  <si>
    <t>Role không phù hợp</t>
  </si>
  <si>
    <t>Input 1: Tên tổ chức hợp lệ | Input 2: -</t>
  </si>
  <si>
    <t>Tổ chức được tạo và user có quyền owner theo flow.</t>
  </si>
  <si>
    <t>Mở tạo tổ chức</t>
  </si>
  <si>
    <t>Mở Settings tổ chức</t>
  </si>
  <si>
    <t>Mở Members</t>
  </si>
  <si>
    <t>Mở Invite</t>
  </si>
  <si>
    <t>Mở link mời</t>
  </si>
  <si>
    <t>Mở link</t>
  </si>
  <si>
    <t>Mở phần Groups/Teams</t>
  </si>
  <si>
    <t>Đăng nhập member</t>
  </si>
  <si>
    <t>Input 1: Tên mới hợp lệ | Input 2: -</t>
  </si>
  <si>
    <t>Tên mới được giữ sau refresh.</t>
  </si>
  <si>
    <t>Nhập tên</t>
  </si>
  <si>
    <t>Sửa tên</t>
  </si>
  <si>
    <t>Chọn Invite</t>
  </si>
  <si>
    <t>Đăng nhập nếu cần</t>
  </si>
  <si>
    <t>Chọn thành viên</t>
  </si>
  <si>
    <t>Tìm control quản trị</t>
  </si>
  <si>
    <t>Chọn Remove</t>
  </si>
  <si>
    <t>Thử remove/downgrade owner cuối</t>
  </si>
  <si>
    <t>Tạo nhóm</t>
  </si>
  <si>
    <t>Mở Billing URL/menu</t>
  </si>
  <si>
    <t>Input 1: Email mới | Input 2: Role/member permission</t>
  </si>
  <si>
    <t>Invitation được tạo/gửi đúng email và role.</t>
  </si>
  <si>
    <t>Bấm Tạo</t>
  </si>
  <si>
    <t>Lưu</t>
  </si>
  <si>
    <t>Nhập email/role</t>
  </si>
  <si>
    <t>Gửi</t>
  </si>
  <si>
    <t>Chấp nhận</t>
  </si>
  <si>
    <t>Không thực hiện join</t>
  </si>
  <si>
    <t>Đổi role</t>
  </si>
  <si>
    <t>Thử thay đổi nếu UI cho phép</t>
  </si>
  <si>
    <t>Xác nhận</t>
  </si>
  <si>
    <t>Xác nhận nếu có</t>
  </si>
  <si>
    <t>Thêm member</t>
  </si>
  <si>
    <t>Quan sát quyền</t>
  </si>
  <si>
    <t>Input 1: Email trùng member | Input 2: Role bất kỳ</t>
  </si>
  <si>
    <t>Không tạo invitation/member trùng.</t>
  </si>
  <si>
    <t>Mở tổ chức vừa tạo</t>
  </si>
  <si>
    <t>Refresh trang</t>
  </si>
  <si>
    <t>Gửi lời mời</t>
  </si>
  <si>
    <t>Quan sát lỗi</t>
  </si>
  <si>
    <t>Mở tổ chức</t>
  </si>
  <si>
    <t>Quay về app</t>
  </si>
  <si>
    <t>Đăng nhập lại bằng member để kiểm tra</t>
  </si>
  <si>
    <t>Target refresh/relogin</t>
  </si>
  <si>
    <t>Quan sát</t>
  </si>
  <si>
    <t>Đổi tên và lưu</t>
  </si>
  <si>
    <t>Không thay đổi plan</t>
  </si>
  <si>
    <t>Input 1: Invitation link | Input 2: Tài khoản đúng email</t>
  </si>
  <si>
    <t>User trở thành member đúng org/role.</t>
  </si>
  <si>
    <t>Không thêm member; hiển thị lý do dễ hiểu.</t>
  </si>
  <si>
    <t>Role mới được áp dụng đúng quyền.</t>
  </si>
  <si>
    <t>Control bị ẩn/vô hiệu hoặc backend từ chối.</t>
  </si>
  <si>
    <t>Member bị loại và mất quyền truy cập org.</t>
  </si>
  <si>
    <t>Hệ thống chặn trạng thái không có owner.</t>
  </si>
  <si>
    <t>Nhóm/team và membership được lưu đúng.</t>
  </si>
  <si>
    <t>User không đủ quyền bị chặn/không thấy thao tác nhạy cảm.</t>
  </si>
  <si>
    <t>Input 1: Invitation token lỗi | Input 2: -</t>
  </si>
  <si>
    <t>Thành viên đã tồn tại</t>
  </si>
  <si>
    <t>Invitation không hợp lệ/hết hạn</t>
  </si>
  <si>
    <t>Authorization error</t>
  </si>
  <si>
    <t>Không thể loại owner cuối cùng</t>
  </si>
  <si>
    <t>Authorization</t>
  </si>
  <si>
    <t>Input 1: Member hiện tại | Input 2: Role mới</t>
  </si>
  <si>
    <t>Organization ID mới</t>
  </si>
  <si>
    <t>Không đổi organization ID</t>
  </si>
  <si>
    <t>Không tạo member trước khi flow cho phép</t>
  </si>
  <si>
    <t>Số member không tăng</t>
  </si>
  <si>
    <t>Invitation chuyển trạng thái hoàn tất</t>
  </si>
  <si>
    <t>Không lộ org ngoài quyền</t>
  </si>
  <si>
    <t>Không giữ quyền cũ sau refresh</t>
  </si>
  <si>
    <t>Không thay role</t>
  </si>
  <si>
    <t>Không xóa dữ liệu org</t>
  </si>
  <si>
    <t>Owner vẫn tồn tại</t>
  </si>
  <si>
    <t>Không tạo duplicate ngoài thiết kế</t>
  </si>
  <si>
    <t>Không lộ thông tin thanh toán nhạy cảm</t>
  </si>
  <si>
    <t>Input 1: Target member | Input 2: Thao tác đổi role</t>
  </si>
  <si>
    <t>Input 1: Member cần remove | Input 2: -</t>
  </si>
  <si>
    <t>Input 1: Owner cuối cùng | Input 2: Remove</t>
  </si>
  <si>
    <t>Input 1: Tên nhóm hợp lệ | Input 2: Members</t>
  </si>
  <si>
    <t>Input 1: Billing settings | Input 2: Role không phù hợp</t>
  </si>
  <si>
    <t>Verified | https://github.com/Royal2005-coder/formailab/tree/ef92d78aa86916e6fbf4bc8a43044a4a4328154d/apps/web/app/(app)/workspaces</t>
  </si>
  <si>
    <t>Quyền workspace</t>
  </si>
  <si>
    <t>readWrite/owner/manager đúng phạm vi</t>
  </si>
  <si>
    <t>Không có quyền</t>
  </si>
  <si>
    <t>read: chỉ được xem</t>
  </si>
  <si>
    <t>Cross-workspace / URL ngoài phạm vi</t>
  </si>
  <si>
    <t>Truy cập workspace</t>
  </si>
  <si>
    <t>Workspace tồn tại và user có access</t>
  </si>
  <si>
    <t>Workspace không tồn tại / không access</t>
  </si>
  <si>
    <t>Refresh đúng workspace hiện tại</t>
  </si>
  <si>
    <t>Mở trực tiếp workspace khác</t>
  </si>
  <si>
    <t>Thao tác ghi</t>
  </si>
  <si>
    <t>User có readWrite</t>
  </si>
  <si>
    <t>User chỉ read/no access</t>
  </si>
  <si>
    <t>Quyền vừa bị đổi readWrite → read</t>
  </si>
  <si>
    <t>Tiếp tục dùng quyền cũ sau khi đã bị thu hồi</t>
  </si>
  <si>
    <t>Xóa workspace</t>
  </si>
  <si>
    <t>Đúng workspace + xác nhận</t>
  </si>
  <si>
    <t>Sai workspace / không đủ quyền</t>
  </si>
  <si>
    <t>Hủy ở modal xác nhận</t>
  </si>
  <si>
    <t>Cố xóa bằng user không có quyền</t>
  </si>
  <si>
    <t>WKSP-002</t>
  </si>
  <si>
    <t>WKSP-003</t>
  </si>
  <si>
    <t>WKSP-004</t>
  </si>
  <si>
    <t>WKSP-005</t>
  </si>
  <si>
    <t>WKSP-006</t>
  </si>
  <si>
    <t>WKSP-007</t>
  </si>
  <si>
    <t>WKSP-008</t>
  </si>
  <si>
    <t>WKSP-009</t>
  </si>
  <si>
    <t>WKSP-010</t>
  </si>
  <si>
    <t>WKSP-011</t>
  </si>
  <si>
    <t>WKSP-012</t>
  </si>
  <si>
    <t>WKSP-013</t>
  </si>
  <si>
    <t>WKSP-014</t>
  </si>
  <si>
    <t>WKSP-015</t>
  </si>
  <si>
    <t>Tạo workspace</t>
  </si>
  <si>
    <t>Đổi tên workspace</t>
  </si>
  <si>
    <t>Chuyển giữa workspace A và B</t>
  </si>
  <si>
    <t>Read-only xem danh sách survey</t>
  </si>
  <si>
    <t>Read-only không tạo survey</t>
  </si>
  <si>
    <t>readWrite tạo/sửa survey được</t>
  </si>
  <si>
    <t>Owner/Manager sử dụng AI LAB import</t>
  </si>
  <si>
    <t>Cross-workspace URL bị chặn</t>
  </si>
  <si>
    <t>Workspace ID không tồn tại</t>
  </si>
  <si>
    <t>Xóa workspace có xác nhận</t>
  </si>
  <si>
    <t>Hủy xóa workspace</t>
  </si>
  <si>
    <t>Đổi quyền readWrite → read có hiệu lực</t>
  </si>
  <si>
    <t>Xóa user khỏi workspace thu hồi quyền</t>
  </si>
  <si>
    <t>Dữ liệu survey cách ly giữa A/B</t>
  </si>
  <si>
    <t>Refresh giữ đúng workspace context</t>
  </si>
  <si>
    <t>Có quyền quản trị tổ chức</t>
  </si>
  <si>
    <t>Có quyền ghi</t>
  </si>
  <si>
    <t>User có quyền cả A/B</t>
  </si>
  <si>
    <t>Permission=read</t>
  </si>
  <si>
    <t>Permission=readWrite</t>
  </si>
  <si>
    <t>Role owner/manager hoặc readWrite</t>
  </si>
  <si>
    <t>User chỉ có A</t>
  </si>
  <si>
    <t>Đăng nhập</t>
  </si>
  <si>
    <t>Owner; workspace có thể xóa</t>
  </si>
  <si>
    <t>Modal delete đang mở</t>
  </si>
  <si>
    <t>Admin có thể đổi permission</t>
  </si>
  <si>
    <t>User đang có quyền</t>
  </si>
  <si>
    <t>A/B đều có survey</t>
  </si>
  <si>
    <t>Đang ở route workspace sâu</t>
  </si>
  <si>
    <t>Tên workspace hợp lệ</t>
  </si>
  <si>
    <t>Tên mới</t>
  </si>
  <si>
    <t>Workspace A</t>
  </si>
  <si>
    <t>Create survey</t>
  </si>
  <si>
    <t>Survey draft</t>
  </si>
  <si>
    <t>File CSV hợp lệ</t>
  </si>
  <si>
    <t>URL workspace B</t>
  </si>
  <si>
    <t>workspaceId giả</t>
  </si>
  <si>
    <t>Workspace test</t>
  </si>
  <si>
    <t>Cancel</t>
  </si>
  <si>
    <t>Member</t>
  </si>
  <si>
    <t>Survey A</t>
  </si>
  <si>
    <t>Route survey/analysis</t>
  </si>
  <si>
    <t>Org hiện tại</t>
  </si>
  <si>
    <t>Workspace B</t>
  </si>
  <si>
    <t>Surveys</t>
  </si>
  <si>
    <t>URL trực tiếp</t>
  </si>
  <si>
    <t>Confirm text/modal</t>
  </si>
  <si>
    <t>readWrite → read</t>
  </si>
  <si>
    <t>Remove access</t>
  </si>
  <si>
    <t>Refresh</t>
  </si>
  <si>
    <t>Input 1: Tên workspace hợp lệ | Input 2: Org hiện tại</t>
  </si>
  <si>
    <t>Workspace mới xuất hiện và vào được.</t>
  </si>
  <si>
    <t>Mở tạo workspace</t>
  </si>
  <si>
    <t>Mở Workspace settings</t>
  </si>
  <si>
    <t>Mở A</t>
  </si>
  <si>
    <t>Đăng nhập read-only</t>
  </si>
  <si>
    <t>Đăng nhập readWrite</t>
  </si>
  <si>
    <t>Mở AI LAB import</t>
  </si>
  <si>
    <t>Đăng nhập user A</t>
  </si>
  <si>
    <t>Nhập URL sai ID</t>
  </si>
  <si>
    <t>Mở Settings</t>
  </si>
  <si>
    <t>Mở Delete</t>
  </si>
  <si>
    <t>Admin đổi permission</t>
  </si>
  <si>
    <t>Admin remove user</t>
  </si>
  <si>
    <t>Mở B</t>
  </si>
  <si>
    <t>Mở route</t>
  </si>
  <si>
    <t>Input 1: Tên mới | Input 2: Workspace A</t>
  </si>
  <si>
    <t>Tên mới được giữ.</t>
  </si>
  <si>
    <t>Đổi tên</t>
  </si>
  <si>
    <t>Chuyển sang B</t>
  </si>
  <si>
    <t>Mở Surveys</t>
  </si>
  <si>
    <t>Tạo survey</t>
  </si>
  <si>
    <t>Validate file</t>
  </si>
  <si>
    <t>Mở URL B trực tiếp</t>
  </si>
  <si>
    <t>Mở</t>
  </si>
  <si>
    <t>Chọn Delete</t>
  </si>
  <si>
    <t>Bấm Cancel</t>
  </si>
  <si>
    <t>Member refresh/relogin</t>
  </si>
  <si>
    <t>User refresh</t>
  </si>
  <si>
    <t>Tìm ID/tên survey A</t>
  </si>
  <si>
    <t>Refresh trình duyệt</t>
  </si>
  <si>
    <t>Input 1: Workspace A | Input 2: Workspace B</t>
  </si>
  <si>
    <t>Context và dữ liệu thay đổi đúng workspace.</t>
  </si>
  <si>
    <t>Kiểm tra route/dữ liệu</t>
  </si>
  <si>
    <t>Tìm/nhấn Create</t>
  </si>
  <si>
    <t>Sửa một câu</t>
  </si>
  <si>
    <t>Commit</t>
  </si>
  <si>
    <t>Xác nhận đúng</t>
  </si>
  <si>
    <t>Member thử write</t>
  </si>
  <si>
    <t>User mở workspace URL</t>
  </si>
  <si>
    <t>Mở direct URL survey A trong context B</t>
  </si>
  <si>
    <t>Chờ tải</t>
  </si>
  <si>
    <t>Input 1: Workspace A | Input 2: Surveys</t>
  </si>
  <si>
    <t>User xem được dữ liệu được phép đọc.</t>
  </si>
  <si>
    <t>Quay lại A</t>
  </si>
  <si>
    <t>Mở một survey</t>
  </si>
  <si>
    <t>Mở survey mới</t>
  </si>
  <si>
    <t>Thử route con</t>
  </si>
  <si>
    <t>Quay lại app</t>
  </si>
  <si>
    <t>Kiểm tra danh sách</t>
  </si>
  <si>
    <t>Member thử read</t>
  </si>
  <si>
    <t>Kiểm tra breadcrumb/url</t>
  </si>
  <si>
    <t>Input 1: Create survey | Input 2: Workspace A</t>
  </si>
  <si>
    <t>Nút bị ẩn/vô hiệu hoặc backend từ chối.</t>
  </si>
  <si>
    <t>Thao tác write thành công.</t>
  </si>
  <si>
    <t>Import được phép theo quyền.</t>
  </si>
  <si>
    <t>Không xem được dữ liệu B.</t>
  </si>
  <si>
    <t>Hiển thị not found/redirect an toàn.</t>
  </si>
  <si>
    <t>Workspace bị xóa theo policy; không còn truy cập.</t>
  </si>
  <si>
    <t>Workspace vẫn tồn tại nguyên trạng.</t>
  </si>
  <si>
    <t>Read vẫn hoạt động; write bị chặn.</t>
  </si>
  <si>
    <t>Quyền bị thu hồi ngay theo session policy.</t>
  </si>
  <si>
    <t>Không truy cập survey A từ B trái quyền.</t>
  </si>
  <si>
    <t>Context không bị nhảy sang workspace mặc định khác.</t>
  </si>
  <si>
    <t>Input 1: Survey draft | Input 2: Workspace A</t>
  </si>
  <si>
    <t>Authorization/Not found</t>
  </si>
  <si>
    <t>Không tìm thấy</t>
  </si>
  <si>
    <t>Authorization khi write</t>
  </si>
  <si>
    <t>Input 1: File CSV hợp lệ | Input 2: Workspace A</t>
  </si>
  <si>
    <t>Workspace ID mới</t>
  </si>
  <si>
    <t>ID không đổi</t>
  </si>
  <si>
    <t>Không giữ dữ liệu A trên B</t>
  </si>
  <si>
    <t>Không có thao tác write</t>
  </si>
  <si>
    <t>Không tạo survey</t>
  </si>
  <si>
    <t>Dữ liệu thuộc đúng workspace</t>
  </si>
  <si>
    <t>Audit/context đúng workspace</t>
  </si>
  <si>
    <t>Không lộ tên/survey B</t>
  </si>
  <si>
    <t>Không crash toàn app</t>
  </si>
  <si>
    <t>Không xóa nhầm workspace</t>
  </si>
  <si>
    <t>Không gọi delete</t>
  </si>
  <si>
    <t>Không dùng quyền cache cũ</t>
  </si>
  <si>
    <t>Không còn data access</t>
  </si>
  <si>
    <t>Không cross-tenant leak</t>
  </si>
  <si>
    <t>URL và dữ liệu thống nhất</t>
  </si>
  <si>
    <t>Input 1: URL workspace B | Input 2: -</t>
  </si>
  <si>
    <t>Input 1: workspaceId giả | Input 2: URL trực tiếp</t>
  </si>
  <si>
    <t>Input 1: Workspace test | Input 2: Confirm text/modal</t>
  </si>
  <si>
    <t>Input 1: Cancel | Input 2: Workspace test</t>
  </si>
  <si>
    <t>Input 1: Member | Input 2: readWrite → read</t>
  </si>
  <si>
    <t>Input 1: Member | Input 2: Remove access</t>
  </si>
  <si>
    <t>Input 1: Survey A | Input 2: Workspace B</t>
  </si>
  <si>
    <t>Input 1: Route survey/analysis | Input 2: Refresh</t>
  </si>
  <si>
    <t>Verified | https://github.com/Royal2005-coder/formailab/tree/ef92d78aa86916e6fbf4bc8a43044a4a4328154d/apps/web/modules/survey/list/components/survey-list.tsx</t>
  </si>
  <si>
    <t>Số survey trong workspace</t>
  </si>
  <si>
    <t>≥1 survey</t>
  </si>
  <si>
    <t>Survey ID không tồn tại</t>
  </si>
  <si>
    <t>0 survey → hiển thị empty state</t>
  </si>
  <si>
    <t>URL trỏ survey không tồn tại</t>
  </si>
  <si>
    <t>Context điều hướng</t>
  </si>
  <si>
    <t>URL và workspace/survey hợp lệ</t>
  </si>
  <si>
    <t>Context sai / không quyền</t>
  </si>
  <si>
    <t>Refresh tại route sâu</t>
  </si>
  <si>
    <t>Back/Forward sang context khác</t>
  </si>
  <si>
    <t>Tên survey</t>
  </si>
  <si>
    <t>Tên trong giới hạn field</t>
  </si>
  <si>
    <t>Tên không hợp lệ</t>
  </si>
  <si>
    <t>Tên rất dài nhưng vẫn trong giới hạn</t>
  </si>
  <si>
    <t>Vượt giới hạn cấu hình</t>
  </si>
  <si>
    <t>Entry point chức năng</t>
  </si>
  <si>
    <t>Menu/CTA khả dụng theo quyền</t>
  </si>
  <si>
    <t>Route không tồn tại</t>
  </si>
  <si>
    <t>User read chỉ thấy chức năng đọc</t>
  </si>
  <si>
    <t>User read cố mở chức năng ghi</t>
  </si>
  <si>
    <t>NAV-002</t>
  </si>
  <si>
    <t>NAV-003</t>
  </si>
  <si>
    <t>NAV-004</t>
  </si>
  <si>
    <t>NAV-005</t>
  </si>
  <si>
    <t>NAV-006</t>
  </si>
  <si>
    <t>NAV-007</t>
  </si>
  <si>
    <t>NAV-008</t>
  </si>
  <si>
    <t>NAV-009</t>
  </si>
  <si>
    <t>NAV-010</t>
  </si>
  <si>
    <t>Mở danh sách khảo sát</t>
  </si>
  <si>
    <t>Mở survey từ danh sách</t>
  </si>
  <si>
    <t>Mở luồng tạo survey</t>
  </si>
  <si>
    <t>Mở AI LAB Survey</t>
  </si>
  <si>
    <t>Mở Responses/Analysis</t>
  </si>
  <si>
    <t>Workspace chưa có survey</t>
  </si>
  <si>
    <t>Tên survey rất dài</t>
  </si>
  <si>
    <t>Back/Forward trình duyệt</t>
  </si>
  <si>
    <t>Refresh trang sâu</t>
  </si>
  <si>
    <t>Có survey</t>
  </si>
  <si>
    <t>Có quyền tạo</t>
  </si>
  <si>
    <t>Feature AI LAB khả dụng</t>
  </si>
  <si>
    <t>Survey có phản hồi</t>
  </si>
  <si>
    <t>Workspace mới</t>
  </si>
  <si>
    <t>Có survey tên dài</t>
  </si>
  <si>
    <t>Đã mở nhiều route</t>
  </si>
  <si>
    <t>Đang ở Analysis hoặc editor</t>
  </si>
  <si>
    <t>Workspace hợp lệ</t>
  </si>
  <si>
    <t>Survey đã tồn tại</t>
  </si>
  <si>
    <t>AI LAB Survey</t>
  </si>
  <si>
    <t>Responses</t>
  </si>
  <si>
    <t>0 survey</t>
  </si>
  <si>
    <t>200+ ký tự</t>
  </si>
  <si>
    <t>surveyId giả</t>
  </si>
  <si>
    <t>Surveys → AI LAB → Analysis</t>
  </si>
  <si>
    <t>Click survey</t>
  </si>
  <si>
    <t>Workspace</t>
  </si>
  <si>
    <t>Analysis</t>
  </si>
  <si>
    <t>Danh sách survey</t>
  </si>
  <si>
    <t>URL direct</t>
  </si>
  <si>
    <t>Back/Forward</t>
  </si>
  <si>
    <t>Route sâu</t>
  </si>
  <si>
    <t>Input 1: Workspace hợp lệ | Input 2: Surveys</t>
  </si>
  <si>
    <t>Danh sách/empty state hiển thị thành công.</t>
  </si>
  <si>
    <t>Chọn workspace</t>
  </si>
  <si>
    <t>Mở menu workspace</t>
  </si>
  <si>
    <t>Mở survey</t>
  </si>
  <si>
    <t>Mở URL sai surveyId</t>
  </si>
  <si>
    <t>Đi qua 3 route</t>
  </si>
  <si>
    <t>Input 1: Survey đã tồn tại | Input 2: Click survey</t>
  </si>
  <si>
    <t>Đi đúng survey đã chọn.</t>
  </si>
  <si>
    <t>Chọn survey</t>
  </si>
  <si>
    <t>Bấm Create</t>
  </si>
  <si>
    <t>Chọn AI LAB</t>
  </si>
  <si>
    <t>Mở Responses</t>
  </si>
  <si>
    <t>Quan sát row/card</t>
  </si>
  <si>
    <t>Bấm Back</t>
  </si>
  <si>
    <t>Input 1: Create survey | Input 2: -</t>
  </si>
  <si>
    <t>Hiển thị Start from scratch/template/AI theo cấu hình.</t>
  </si>
  <si>
    <t>Kiểm tra URL</t>
  </si>
  <si>
    <t>Quan sát lựa chọn</t>
  </si>
  <si>
    <t>Mở Analysis</t>
  </si>
  <si>
    <t>Quan sát empty state</t>
  </si>
  <si>
    <t>Resize cửa sổ</t>
  </si>
  <si>
    <t>Back</t>
  </si>
  <si>
    <t>Bấm Forward</t>
  </si>
  <si>
    <t>Input 1: AI LAB Survey | Input 2: Workspace</t>
  </si>
  <si>
    <t>Trang AI LAB tải đúng workspace.</t>
  </si>
  <si>
    <t>Quan sát danh sách</t>
  </si>
  <si>
    <t>Kiểm tra tiêu đề</t>
  </si>
  <si>
    <t>Chọn một phương thức</t>
  </si>
  <si>
    <t>Kiểm tra context</t>
  </si>
  <si>
    <t>Đối chiếu survey</t>
  </si>
  <si>
    <t>Bấm CTA nếu có</t>
  </si>
  <si>
    <t>Mở survey hợp lệ</t>
  </si>
  <si>
    <t>Quan sát state</t>
  </si>
  <si>
    <t>Đối chiếu context</t>
  </si>
  <si>
    <t>Input 1: Responses | Input 2: Analysis</t>
  </si>
  <si>
    <t>Dữ liệu đúng survey hiện tại.</t>
  </si>
  <si>
    <t>Empty state rõ ràng, có hướng dẫn tạo survey.</t>
  </si>
  <si>
    <t>Tên wrap/truncate hợp lý; thao tác vẫn dùng được.</t>
  </si>
  <si>
    <t>Not found/redirect an toàn.</t>
  </si>
  <si>
    <t>UI đồng bộ với URL ở mỗi bước.</t>
  </si>
  <si>
    <t>Trang phục hồi đúng state server-side cần thiết.</t>
  </si>
  <si>
    <t>Input 1: 0 survey | Input 2: Surveys</t>
  </si>
  <si>
    <t>Không tìm thấy survey</t>
  </si>
  <si>
    <t>Input 1: 200+ ký tự | Input 2: Danh sách survey</t>
  </si>
  <si>
    <t>Không lỗi trang</t>
  </si>
  <si>
    <t>ID/tiêu đề đúng</t>
  </si>
  <si>
    <t>Không route sai</t>
  </si>
  <si>
    <t>Không 404/403 với user có quyền</t>
  </si>
  <si>
    <t>Không lẫn survey khác</t>
  </si>
  <si>
    <t>Không hiển thị lỗi kỹ thuật</t>
  </si>
  <si>
    <t>Không phá layout</t>
  </si>
  <si>
    <t>Không crash</t>
  </si>
  <si>
    <t>Không vòng lặp redirect</t>
  </si>
  <si>
    <t>Không mất quyền/context</t>
  </si>
  <si>
    <t>Input 1: surveyId giả | Input 2: URL direct</t>
  </si>
  <si>
    <t>Input 1: Surveys → AI LAB → Analysis | Input 2: Back/Forward</t>
  </si>
  <si>
    <t>Input 1: Refresh | Input 2: Route sâu</t>
  </si>
  <si>
    <t>Verified | https://github.com/Royal2005-coder/formailab/tree/ef92d78aa86916e6fbf4bc8a43044a4a4328154d/apps/web/modules/survey</t>
  </si>
  <si>
    <t>Câu bắt buộc</t>
  </si>
  <si>
    <t>Có câu trả lời hợp lệ</t>
  </si>
  <si>
    <t>Bỏ trống</t>
  </si>
  <si>
    <t>Giá trị vừa đủ để pass validation</t>
  </si>
  <si>
    <t>Rỗng / null</t>
  </si>
  <si>
    <t>Rating 1–5</t>
  </si>
  <si>
    <t>2–4</t>
  </si>
  <si>
    <t>Ngoài 1–5 / sai kiểu</t>
  </si>
  <si>
    <t>1 hoặc 5</t>
  </si>
  <si>
    <t>0 hoặc 6</t>
  </si>
  <si>
    <t>NPS 0–10</t>
  </si>
  <si>
    <t>1–9</t>
  </si>
  <si>
    <t>Ngoài 0–10 / sai kiểu</t>
  </si>
  <si>
    <t>0 hoặc 10</t>
  </si>
  <si>
    <t>-1 hoặc 11</t>
  </si>
  <si>
    <t>Logic hiển thị</t>
  </si>
  <si>
    <t>Điều kiện trả về TRUE</t>
  </si>
  <si>
    <t>Biểu thức/target không hợp lệ</t>
  </si>
  <si>
    <t>Giá trị đúng tại ngưỡng điều kiện</t>
  </si>
  <si>
    <t>Giá trị ngay ngoài ngưỡng</t>
  </si>
  <si>
    <t>Slug / tên survey</t>
  </si>
  <si>
    <t>Duy nhất, hợp lệ</t>
  </si>
  <si>
    <t>Trùng / sai validator</t>
  </si>
  <si>
    <t>Giá trị tại giới hạn cấu hình</t>
  </si>
  <si>
    <t>SURV-002</t>
  </si>
  <si>
    <t>SURV-003</t>
  </si>
  <si>
    <t>SURV-004</t>
  </si>
  <si>
    <t>SURV-005</t>
  </si>
  <si>
    <t>SURV-006</t>
  </si>
  <si>
    <t>SURV-007</t>
  </si>
  <si>
    <t>SURV-008</t>
  </si>
  <si>
    <t>SURV-009</t>
  </si>
  <si>
    <t>SURV-010</t>
  </si>
  <si>
    <t>SURV-011</t>
  </si>
  <si>
    <t>SURV-012</t>
  </si>
  <si>
    <t>SURV-013</t>
  </si>
  <si>
    <t>SURV-014</t>
  </si>
  <si>
    <t>SURV-015</t>
  </si>
  <si>
    <t>Tạo survey từ Start from scratch</t>
  </si>
  <si>
    <t>Tạo survey từ template</t>
  </si>
  <si>
    <t>Thêm câu Open Text</t>
  </si>
  <si>
    <t>Thêm Single Choice</t>
  </si>
  <si>
    <t>Thêm Multiple Choice</t>
  </si>
  <si>
    <t>Thêm Rating/NPS</t>
  </si>
  <si>
    <t>Sửa nội dung câu hỏi</t>
  </si>
  <si>
    <t>Đổi thứ tự câu hỏi</t>
  </si>
  <si>
    <t>Logic hiển thị câu theo đáp án trước</t>
  </si>
  <si>
    <t>Preview trước publish</t>
  </si>
  <si>
    <t>Publish survey</t>
  </si>
  <si>
    <t>Archive và restore</t>
  </si>
  <si>
    <t>Xóa survey có xác nhận</t>
  </si>
  <si>
    <t>Slug/tên không hợp lệ hoặc trùng</t>
  </si>
  <si>
    <t>Template khả dụng</t>
  </si>
  <si>
    <t>Có câu hỏi</t>
  </si>
  <si>
    <t>Có &gt;=3 câu</t>
  </si>
  <si>
    <t>Survey hỗ trợ logic</t>
  </si>
  <si>
    <t>Survey draft hợp lệ</t>
  </si>
  <si>
    <t>Survey hợp lệ</t>
  </si>
  <si>
    <t>Survey đã publish</t>
  </si>
  <si>
    <t>Survey test có thể xóa</t>
  </si>
  <si>
    <t>Có survey hiện hữu</t>
  </si>
  <si>
    <t>Start from scratch</t>
  </si>
  <si>
    <t>Template hợp lệ</t>
  </si>
  <si>
    <t>Open Text</t>
  </si>
  <si>
    <t>Single Choice</t>
  </si>
  <si>
    <t>Multiple Choice</t>
  </si>
  <si>
    <t>Rating/NPS</t>
  </si>
  <si>
    <t>Required=ON</t>
  </si>
  <si>
    <t>Text mới</t>
  </si>
  <si>
    <t>Q3 lên Q1</t>
  </si>
  <si>
    <t>Nếu Q1=A → hiện Q2</t>
  </si>
  <si>
    <t>Preview</t>
  </si>
  <si>
    <t>Publish</t>
  </si>
  <si>
    <t>Archive → Restore</t>
  </si>
  <si>
    <t>Delete</t>
  </si>
  <si>
    <t>Slug trùng hoặc dữ liệu sai chuẩn</t>
  </si>
  <si>
    <t>Bạn góp ý gì?</t>
  </si>
  <si>
    <t>Tốt | Bình thường | Chưa tốt</t>
  </si>
  <si>
    <t>A | B | C</t>
  </si>
  <si>
    <t>1-5 hoặc 0-10</t>
  </si>
  <si>
    <t>Reorder</t>
  </si>
  <si>
    <t>Nếu Q1=B → bỏ Q2</t>
  </si>
  <si>
    <t>2-3 loại câu</t>
  </si>
  <si>
    <t>Public link</t>
  </si>
  <si>
    <t>Confirmation</t>
  </si>
  <si>
    <t>Save/Publish</t>
  </si>
  <si>
    <t>Mở Create survey</t>
  </si>
  <si>
    <t>Add question</t>
  </si>
  <si>
    <t>Bật Required</t>
  </si>
  <si>
    <t>Mở editor</t>
  </si>
  <si>
    <t>Kéo câu</t>
  </si>
  <si>
    <t>Cấu hình condition</t>
  </si>
  <si>
    <t>Bấm Preview</t>
  </si>
  <si>
    <t>Bấm Publish</t>
  </si>
  <si>
    <t>Archive survey</t>
  </si>
  <si>
    <t>Mở settings</t>
  </si>
  <si>
    <t>Nhập giá trị lỗi</t>
  </si>
  <si>
    <t>Input 1: Start from scratch | Input 2: Tên survey</t>
  </si>
  <si>
    <t>Survey draft mới được tạo và mở editor.</t>
  </si>
  <si>
    <t>Chọn Start from scratch</t>
  </si>
  <si>
    <t>Chọn template</t>
  </si>
  <si>
    <t>Chọn Open Text</t>
  </si>
  <si>
    <t>Chọn Single Choice</t>
  </si>
  <si>
    <t>Nhập option</t>
  </si>
  <si>
    <t>Chọn type</t>
  </si>
  <si>
    <t>Sửa text</t>
  </si>
  <si>
    <t>Preview với A</t>
  </si>
  <si>
    <t>Trả lời thử</t>
  </si>
  <si>
    <t>Mở public link</t>
  </si>
  <si>
    <t>Kiểm tra public/state</t>
  </si>
  <si>
    <t>Lưu/publish</t>
  </si>
  <si>
    <t>Input 1: Template hợp lệ | Input 2: Workspace</t>
  </si>
  <si>
    <t>Survey được tạo từ template đúng nội dung cơ bản.</t>
  </si>
  <si>
    <t>Xem preview</t>
  </si>
  <si>
    <t>Nhập nội dung</t>
  </si>
  <si>
    <t>Nhập 3 option</t>
  </si>
  <si>
    <t>Thiết lập scale</t>
  </si>
  <si>
    <t>Chuyển câu khác</t>
  </si>
  <si>
    <t>Preview với B</t>
  </si>
  <si>
    <t>Đi qua survey</t>
  </si>
  <si>
    <t>Restore</t>
  </si>
  <si>
    <t>Input 1: Open Text | Input 2: Bạn góp ý gì?</t>
  </si>
  <si>
    <t>Câu hỏi hiển thị đúng và nhập text được.</t>
  </si>
  <si>
    <t>Chọn nhiều option</t>
  </si>
  <si>
    <t>Bấm Next/Submit</t>
  </si>
  <si>
    <t>So sánh route</t>
  </si>
  <si>
    <t>Quay về editor</t>
  </si>
  <si>
    <t>Kiểm tra trạng thái</t>
  </si>
  <si>
    <t>Mở lại</t>
  </si>
  <si>
    <t>Sửa hợp lệ</t>
  </si>
  <si>
    <t>Input 1: Single Choice | Input 2: Tốt | Bình thường | Chưa tốt</t>
  </si>
  <si>
    <t>Đủ 3 option; chỉ chọn được một.</t>
  </si>
  <si>
    <t>Có thể chọn nhiều và response giữ đúng selection.</t>
  </si>
  <si>
    <t>Thang điểm hiển thị đúng và chọn được biên.</t>
  </si>
  <si>
    <t>Hệ thống chặn và báo cần trả lời.</t>
  </si>
  <si>
    <t>Nội dung mới được lưu.</t>
  </si>
  <si>
    <t>Preview và editor theo thứ tự mới.</t>
  </si>
  <si>
    <t>Q2 chỉ hiện khi điều kiện đúng.</t>
  </si>
  <si>
    <t>Preview phản ánh cấu hình nhưng không publish ngoài ý muốn.</t>
  </si>
  <si>
    <t>Survey active và public link hoạt động.</t>
  </si>
  <si>
    <t>Trạng thái thay đổi đúng; dữ liệu giữ nguyên.</t>
  </si>
  <si>
    <t>Survey bị xóa đúng đối tượng.</t>
  </si>
  <si>
    <t>Không ghi đè survey cũ; báo lỗi rõ ràng.</t>
  </si>
  <si>
    <t>Input 1: Multiple Choice | Input 2: A | B | C</t>
  </si>
  <si>
    <t>Vui lòng trả lời câu hỏi</t>
  </si>
  <si>
    <t>Slug/tên không hợp lệ</t>
  </si>
  <si>
    <t>Input 1: Rating/NPS | Input 2: 1-5 hoặc 0-10</t>
  </si>
  <si>
    <t>Có survey ID mới</t>
  </si>
  <si>
    <t>Không sửa template gốc</t>
  </si>
  <si>
    <t>Nội dung giữ sau refresh</t>
  </si>
  <si>
    <t>Order đúng</t>
  </si>
  <si>
    <t>Không biến thành single</t>
  </si>
  <si>
    <t>Min/max đúng</t>
  </si>
  <si>
    <t>Không hoàn tất sai</t>
  </si>
  <si>
    <t>Không quay lại text cũ</t>
  </si>
  <si>
    <t>Order persist</t>
  </si>
  <si>
    <t>Không đồng thời sai nhánh</t>
  </si>
  <si>
    <t>Draft không bị hỏng</t>
  </si>
  <si>
    <t>Status/link đúng</t>
  </si>
  <si>
    <t>Responses không mất</t>
  </si>
  <si>
    <t>Không xóa survey khác</t>
  </si>
  <si>
    <t>Dữ liệu cũ nguyên vẹn</t>
  </si>
  <si>
    <t>Input 1: Required=ON | Input 2: Bỏ trống</t>
  </si>
  <si>
    <t>Input 1: Text mới | Input 2: -</t>
  </si>
  <si>
    <t>Input 1: Q3 lên Q1 | Input 2: Reorder</t>
  </si>
  <si>
    <t>Input 1: Nếu Q1=A → hiện Q2 | Input 2: Nếu Q1=B → bỏ Q2</t>
  </si>
  <si>
    <t>Input 1: Preview | Input 2: 2-3 loại câu</t>
  </si>
  <si>
    <t>Input 1: Publish | Input 2: Public link</t>
  </si>
  <si>
    <t>Input 1: Archive → Restore | Input 2: -</t>
  </si>
  <si>
    <t>Input 1: Delete | Input 2: Confirmation</t>
  </si>
  <si>
    <t>Input 1: Slug trùng hoặc dữ liệu sai chuẩn | Input 2: Save/Publish</t>
  </si>
  <si>
    <t>Verified | https://github.com/Royal2005-coder/formailab/tree/ef92d78aa86916e6fbf4bc8a43044a4a4328154d/apps/web/modules/ai-lab-survey/actions.ts</t>
  </si>
  <si>
    <t>Định dạng file</t>
  </si>
  <si>
    <t>.csv / .xlsx / .xls</t>
  </si>
  <si>
    <t>Định dạng khác (.txt/.pdf/...)</t>
  </si>
  <si>
    <t>Legacy .xls vẫn được chấp nhận</t>
  </si>
  <si>
    <t>Tên file giả/không có extension hợp lệ</t>
  </si>
  <si>
    <t>Dung lượng file</t>
  </si>
  <si>
    <t>0 &lt; size ≤ 10 MiB</t>
  </si>
  <si>
    <t>File rỗng / không đọc được</t>
  </si>
  <si>
    <t>10 MiB</t>
  </si>
  <si>
    <t>10 MiB + 1 byte</t>
  </si>
  <si>
    <t>Nội dung CSV/XLSX</t>
  </si>
  <si>
    <t>Parse được, schema hợp lệ</t>
  </si>
  <si>
    <t>Malformed / thiếu cấu trúc bắt buộc</t>
  </si>
  <si>
    <t>Bộ dữ liệu tối thiểu vẫn hợp lệ</t>
  </si>
  <si>
    <t>Thiếu reference bắt buộc</t>
  </si>
  <si>
    <t>Checksum commit</t>
  </si>
  <si>
    <t>Checksum canonical khớp</t>
  </si>
  <si>
    <t>Checksum khác / sai định dạng</t>
  </si>
  <si>
    <t>Đúng 64 ký tự hex</t>
  </si>
  <si>
    <t>63/65 ký tự hoặc không khớp</t>
  </si>
  <si>
    <t>Quyền import</t>
  </si>
  <si>
    <t>readWrite/owner/manager</t>
  </si>
  <si>
    <t>read/no access</t>
  </si>
  <si>
    <t>Quyền vừa đủ readWrite</t>
  </si>
  <si>
    <t>Cross-workspace / read-only</t>
  </si>
  <si>
    <t>IMP-002</t>
  </si>
  <si>
    <t>IMP-003</t>
  </si>
  <si>
    <t>IMP-004</t>
  </si>
  <si>
    <t>IMP-005</t>
  </si>
  <si>
    <t>IMP-006</t>
  </si>
  <si>
    <t>IMP-007</t>
  </si>
  <si>
    <t>IMP-008</t>
  </si>
  <si>
    <t>IMP-009</t>
  </si>
  <si>
    <t>IMP-010</t>
  </si>
  <si>
    <t>IMP-011</t>
  </si>
  <si>
    <t>IMP-012</t>
  </si>
  <si>
    <t>IMP-013</t>
  </si>
  <si>
    <t>IMP-014</t>
  </si>
  <si>
    <t>IMP-015</t>
  </si>
  <si>
    <t>Validate CSV hợp lệ</t>
  </si>
  <si>
    <t>Validate XLSX hợp lệ</t>
  </si>
  <si>
    <t>Validate XLS legacy</t>
  </si>
  <si>
    <t>Commit sau validation</t>
  </si>
  <si>
    <t>Re-import cùng file</t>
  </si>
  <si>
    <t>File rỗng</t>
  </si>
  <si>
    <t>CSV sai cú pháp</t>
  </si>
  <si>
    <t>Đuôi file không hỗ trợ</t>
  </si>
  <si>
    <t>File đúng 10 MiB</t>
  </si>
  <si>
    <t>File &gt;10 MiB</t>
  </si>
  <si>
    <t>Reference tới question/group không tồn tại</t>
  </si>
  <si>
    <t>Biểu thức relevance không hợp lệ</t>
  </si>
  <si>
    <t>CSV UTF-8 tiếng Việt</t>
  </si>
  <si>
    <t>Checksum commit không khớp</t>
  </si>
  <si>
    <t>Read-only import/commit</t>
  </si>
  <si>
    <t>readWrite; file chuẩn</t>
  </si>
  <si>
    <t>readWrite</t>
  </si>
  <si>
    <t>Import job validated</t>
  </si>
  <si>
    <t>Đã import file một lần</t>
  </si>
  <si>
    <t>File parse hợp lệ</t>
  </si>
  <si>
    <t>File parse được</t>
  </si>
  <si>
    <t>File UTF-8</t>
  </si>
  <si>
    <t>Có import job validated</t>
  </si>
  <si>
    <t>valid.csv</t>
  </si>
  <si>
    <t>valid.xlsx</t>
  </si>
  <si>
    <t>valid.xls</t>
  </si>
  <si>
    <t>importJobId</t>
  </si>
  <si>
    <t>Cùng checksum</t>
  </si>
  <si>
    <t>empty.csv</t>
  </si>
  <si>
    <t>malformed.csv</t>
  </si>
  <si>
    <t>questions.txt</t>
  </si>
  <si>
    <t>parent/external_id lỗi</t>
  </si>
  <si>
    <t>Expression sai</t>
  </si>
  <si>
    <t>Khảo sát mức độ hài lòng</t>
  </si>
  <si>
    <t>Checksum khác</t>
  </si>
  <si>
    <t>Validate/Preview</t>
  </si>
  <si>
    <t>Validate</t>
  </si>
  <si>
    <t>canonical checksum</t>
  </si>
  <si>
    <t>Commit lần 2</t>
  </si>
  <si>
    <t>0 byte/nội dung rỗng</t>
  </si>
  <si>
    <t>Quote/column hỏng</t>
  </si>
  <si>
    <t>Upload</t>
  </si>
  <si>
    <t>Boundary size</t>
  </si>
  <si>
    <t>Preview/Commit</t>
  </si>
  <si>
    <t>Import</t>
  </si>
  <si>
    <t>Mở AI LAB Import</t>
  </si>
  <si>
    <t>Chọn XLSX</t>
  </si>
  <si>
    <t>Chọn .xls</t>
  </si>
  <si>
    <t>Import lại file</t>
  </si>
  <si>
    <t>Chọn file .txt</t>
  </si>
  <si>
    <t>Upload file</t>
  </si>
  <si>
    <t>Upload fixture</t>
  </si>
  <si>
    <t>Validate file A</t>
  </si>
  <si>
    <t>Input 1: valid.csv | Input 2: Validate/Preview</t>
  </si>
  <si>
    <t>Có canonical preview; không blocking diagnostic.</t>
  </si>
  <si>
    <t>Chọn CSV</t>
  </si>
  <si>
    <t>Bấm tạo draft/commit</t>
  </si>
  <si>
    <t>Dùng checksum B trong test harness</t>
  </si>
  <si>
    <t>Mở import</t>
  </si>
  <si>
    <t>Input 1: valid.xlsx | Input 2: Validate</t>
  </si>
  <si>
    <t>Workbook parse đúng và preview được.</t>
  </si>
  <si>
    <t>Xem diagnostics</t>
  </si>
  <si>
    <t>Chờ kết quả</t>
  </si>
  <si>
    <t>Quan sát diagnostic</t>
  </si>
  <si>
    <t>Quan sát size gate</t>
  </si>
  <si>
    <t>Đọc diagnostic</t>
  </si>
  <si>
    <t>Xem compiler diagnostic</t>
  </si>
  <si>
    <t>Thử validate/commit</t>
  </si>
  <si>
    <t>Input 1: valid.xls | Input 2: Validate</t>
  </si>
  <si>
    <t>Extension .xls được schema chấp nhận.</t>
  </si>
  <si>
    <t>Kiểm tra câu hỏi</t>
  </si>
  <si>
    <t>Tiếp tục nếu hợp lệ</t>
  </si>
  <si>
    <t>Kiểm tra số survey/version</t>
  </si>
  <si>
    <t>Không commit</t>
  </si>
  <si>
    <t>Thử commit</t>
  </si>
  <si>
    <t>Không đổi extension giả</t>
  </si>
  <si>
    <t>Tiếp tục parse</t>
  </si>
  <si>
    <t>Không retry commit</t>
  </si>
  <si>
    <t>Tìm external ID lỗi</t>
  </si>
  <si>
    <t>Commit và mở editor</t>
  </si>
  <si>
    <t>Kiểm tra DB/UI</t>
  </si>
  <si>
    <t>Input 1: importJobId | Input 2: canonical checksum</t>
  </si>
  <si>
    <t>Tạo survey/version và trả về surveyId.</t>
  </si>
  <si>
    <t>Hệ thống reuse/idempotent theo thiết kế.</t>
  </si>
  <si>
    <t>Không tạo survey.</t>
  </si>
  <si>
    <t>Validation fail; commit bị chặn.</t>
  </si>
  <si>
    <t>Bị từ chối; chỉ CSV/XLSX/XLS.</t>
  </si>
  <si>
    <t>Không bị từ chối chỉ vì size.</t>
  </si>
  <si>
    <t>Bị chặn dung lượng.</t>
  </si>
  <si>
    <t>Blocking/manual review chỉ đúng entity.</t>
  </si>
  <si>
    <t>Có diagnostic compiler; không bỏ logic âm thầm.</t>
  </si>
  <si>
    <t>Tiếng Việt giữ đúng dấu.</t>
  </si>
  <si>
    <t>Commit fail an toàn.</t>
  </si>
  <si>
    <t>Backend/UI chặn thao tác ghi.</t>
  </si>
  <si>
    <t>Input 1: Cùng checksum | Input 2: Commit lần 2</t>
  </si>
  <si>
    <t>Nội dung file không được để trống/parse error</t>
  </si>
  <si>
    <t>file.parse_error</t>
  </si>
  <si>
    <t>Tên file phải có đuôi .csv, .xlsx, hoặc .xls</t>
  </si>
  <si>
    <t>Dung lượng file không được vượt quá 10 MiB</t>
  </si>
  <si>
    <t>Reference missing</t>
  </si>
  <si>
    <t>compiler.*</t>
  </si>
  <si>
    <t>AI_LAB_IMPORT_COMMIT_FAILED</t>
  </si>
  <si>
    <t>Input 1: empty.csv | Input 2: 0 byte/nội dung rỗng</t>
  </si>
  <si>
    <t>Có importJob/checksum</t>
  </si>
  <si>
    <t>Không parse sai loại</t>
  </si>
  <si>
    <t>Không bị chặn extension</t>
  </si>
  <si>
    <t>COMMITTED</t>
  </si>
  <si>
    <t>Không duplicate ngoài thiết kế</t>
  </si>
  <si>
    <t>Không có partial data</t>
  </si>
  <si>
    <t>Không tạo draft</t>
  </si>
  <si>
    <t>Không tạo job</t>
  </si>
  <si>
    <t>Boundary max chính xác</t>
  </si>
  <si>
    <t>Không orphan entity</t>
  </si>
  <si>
    <t>Chỉ rõ câu liên quan</t>
  </si>
  <si>
    <t>Không mojibake</t>
  </si>
  <si>
    <t>Không partial commit</t>
  </si>
  <si>
    <t>Không tạo job/survey</t>
  </si>
  <si>
    <t>Input 1: malformed.csv | Input 2: Quote/column hỏng</t>
  </si>
  <si>
    <t>Input 1: questions.txt | Input 2: Upload</t>
  </si>
  <si>
    <t>Input 1: 10 MiB | Input 2: Boundary size</t>
  </si>
  <si>
    <t>Input 1: 10 MiB + 1 byte | Input 2: Boundary size</t>
  </si>
  <si>
    <t>Input 1: parent/external_id lỗi | Input 2: Validate</t>
  </si>
  <si>
    <t>Input 1: Expression sai | Input 2: Validate</t>
  </si>
  <si>
    <t>Input 1: Khảo sát mức độ hài lòng | Input 2: Preview/Commit</t>
  </si>
  <si>
    <t>Input 1: Checksum khác | Input 2: Commit</t>
  </si>
  <si>
    <t>Input 1: valid.csv | Input 2: Import</t>
  </si>
  <si>
    <t>Verified | https://github.com/Royal2005-coder/formailab/tree/ef92d78aa86916e6fbf4bc8a43044a4a4328154d/packages/survey-compiler/src/import-csv.ts</t>
  </si>
  <si>
    <t>Điểm routing ngưỡng 8</t>
  </si>
  <si>
    <t>&gt;8</t>
  </si>
  <si>
    <t>Giá trị/kiểu dữ liệu không hợp lệ</t>
  </si>
  <si>
    <t>8</t>
  </si>
  <si>
    <t>Ngay dưới ngưỡng: 7 hoặc 7.99</t>
  </si>
  <si>
    <t>Ngoài 1–5</t>
  </si>
  <si>
    <t>1 / 5</t>
  </si>
  <si>
    <t>0 / 6</t>
  </si>
  <si>
    <t>Reference parent</t>
  </si>
  <si>
    <t>Group/question tồn tại</t>
  </si>
  <si>
    <t>Parent missing</t>
  </si>
  <si>
    <t>external_id tối thiểu hợp lệ</t>
  </si>
  <si>
    <t>external_id rỗng/không tìm thấy</t>
  </si>
  <si>
    <t>Choice options</t>
  </si>
  <si>
    <t>≥2 option hợp lệ</t>
  </si>
  <si>
    <t>0–1 option</t>
  </si>
  <si>
    <t>Đúng số option tối thiểu</t>
  </si>
  <si>
    <t>Thiếu 1 option so với tối thiểu</t>
  </si>
  <si>
    <t>Ngôn ngữ</t>
  </si>
  <si>
    <t>Mã ngôn ngữ được hỗ trợ</t>
  </si>
  <si>
    <t>Mã sai/thiếu</t>
  </si>
  <si>
    <t>Ngôn ngữ mặc định vi</t>
  </si>
  <si>
    <t>Mã ngôn ngữ rỗng</t>
  </si>
  <si>
    <t>TB-002</t>
  </si>
  <si>
    <t>TB-003</t>
  </si>
  <si>
    <t>TB-004</t>
  </si>
  <si>
    <t>TB-005</t>
  </si>
  <si>
    <t>TB-006</t>
  </si>
  <si>
    <t>TB-007</t>
  </si>
  <si>
    <t>TB-008</t>
  </si>
  <si>
    <t>TB-009</t>
  </si>
  <si>
    <t>TB-010</t>
  </si>
  <si>
    <t>TB-011</t>
  </si>
  <si>
    <t>TB-012</t>
  </si>
  <si>
    <t>TB-013</t>
  </si>
  <si>
    <t>TB-014</t>
  </si>
  <si>
    <t>TB-015</t>
  </si>
  <si>
    <t>Group + Question + Option đúng quan hệ</t>
  </si>
  <si>
    <t>external_id ổn định khi re-import</t>
  </si>
  <si>
    <t>Single choice đủ option</t>
  </si>
  <si>
    <t>Rating 5 mức</t>
  </si>
  <si>
    <t>Open text dài</t>
  </si>
  <si>
    <t>Matrix rows/columns</t>
  </si>
  <si>
    <t>Yes/No</t>
  </si>
  <si>
    <t>Group relevance theo câu trước</t>
  </si>
  <si>
    <t>Tính biến score</t>
  </si>
  <si>
    <t>Routing score &gt;= ngưỡng</t>
  </si>
  <si>
    <t>Boundary score = 8</t>
  </si>
  <si>
    <t>Score dưới ngưỡng</t>
  </si>
  <si>
    <t>Question tham chiếu group thiếu</t>
  </si>
  <si>
    <t>Choice thiếu options</t>
  </si>
  <si>
    <t>File hợp lệ</t>
  </si>
  <si>
    <t>Đã import lần 1</t>
  </si>
  <si>
    <t>Fixture hợp lệ</t>
  </si>
  <si>
    <t>Fixture matrix</t>
  </si>
  <si>
    <t>Fixture type Y</t>
  </si>
  <si>
    <t>Có condition</t>
  </si>
  <si>
    <t>Có scoring</t>
  </si>
  <si>
    <t>Có rule</t>
  </si>
  <si>
    <t>Rule score&gt;=8</t>
  </si>
  <si>
    <t>Fixture lỗi</t>
  </si>
  <si>
    <t>Survey default vi</t>
  </si>
  <si>
    <t>G/Q/A rows</t>
  </si>
  <si>
    <t>Giữ external_id</t>
  </si>
  <si>
    <t>Type L</t>
  </si>
  <si>
    <t>Type 5</t>
  </si>
  <si>
    <t>Text dài</t>
  </si>
  <si>
    <t>SQ rows</t>
  </si>
  <si>
    <t>Q_profile=A</t>
  </si>
  <si>
    <t>score_total</t>
  </si>
  <si>
    <t>score&gt;=8</t>
  </si>
  <si>
    <t>score=8</t>
  </si>
  <si>
    <t>score=7</t>
  </si>
  <si>
    <t>parent group missing</t>
  </si>
  <si>
    <t>Type choice</t>
  </si>
  <si>
    <t>language=vi</t>
  </si>
  <si>
    <t>A/B/C/D</t>
  </si>
  <si>
    <t>range=5</t>
  </si>
  <si>
    <t>longAnswer</t>
  </si>
  <si>
    <t>A columns</t>
  </si>
  <si>
    <t>Target group B</t>
  </si>
  <si>
    <t>q1+q2+q3</t>
  </si>
  <si>
    <t>Nhánh nâng cao</t>
  </si>
  <si>
    <t>0-1 option</t>
  </si>
  <si>
    <t>Text có dấu</t>
  </si>
  <si>
    <t>Sửa fixture</t>
  </si>
  <si>
    <t>Tạo score 9</t>
  </si>
  <si>
    <t>Tạo score đúng 8</t>
  </si>
  <si>
    <t>Tạo score 7</t>
  </si>
  <si>
    <t>Input 1: G/Q/A rows | Input 2: language=vi</t>
  </si>
  <si>
    <t>Đúng số group/question/option và parent.</t>
  </si>
  <si>
    <t>Preview canonical</t>
  </si>
  <si>
    <t>Re-import</t>
  </si>
  <si>
    <t>Mở preview</t>
  </si>
  <si>
    <t>Preview matrix</t>
  </si>
  <si>
    <t>Preview chọn A</t>
  </si>
  <si>
    <t>Trả lời bộ dữ liệu biết trước</t>
  </si>
  <si>
    <t>Tiếp tục survey</t>
  </si>
  <si>
    <t>Tiếp tục</t>
  </si>
  <si>
    <t>Input 1: Giữ external_id | Input 2: Sửa text</t>
  </si>
  <si>
    <t>Reuse/update theo ID, không nhân đôi.</t>
  </si>
  <si>
    <t>Chọn option</t>
  </si>
  <si>
    <t>Chọn 1</t>
  </si>
  <si>
    <t>Nhập đoạn dài</t>
  </si>
  <si>
    <t>Trả lời vài ô</t>
  </si>
  <si>
    <t>Chọn Có</t>
  </si>
  <si>
    <t>Preview chọn giá trị khác</t>
  </si>
  <si>
    <t>Hoàn tất</t>
  </si>
  <si>
    <t>Quan sát route</t>
  </si>
  <si>
    <t>Preview/diagnostic</t>
  </si>
  <si>
    <t>Mở public</t>
  </si>
  <si>
    <t>Input 1: Type L | Input 2: A/B/C/D</t>
  </si>
  <si>
    <t>Radio hiển thị đủ và chỉ chọn 1.</t>
  </si>
  <si>
    <t>Đếm entity</t>
  </si>
  <si>
    <t>Kiểm tra entity</t>
  </si>
  <si>
    <t>Submit thử</t>
  </si>
  <si>
    <t>Chọn 5</t>
  </si>
  <si>
    <t>Chọn Không ở lượt khác</t>
  </si>
  <si>
    <t>So route</t>
  </si>
  <si>
    <t>Xem variable/result</t>
  </si>
  <si>
    <t>Đối chiếu rule</t>
  </si>
  <si>
    <t>Đối chiếu</t>
  </si>
  <si>
    <t>Input 1: Type 5 | Input 2: range=5</t>
  </si>
  <si>
    <t>Thang 1-5 đúng.</t>
  </si>
  <si>
    <t>Textarea dùng được; response không bị cắt ngoài giới hạn thiết kế.</t>
  </si>
  <si>
    <t>Matrix có row/column đúng cấu trúc.</t>
  </si>
  <si>
    <t>Hiển thị/ghi nhận đúng hai giá trị.</t>
  </si>
  <si>
    <t>Group chỉ hiện khi biểu thức true.</t>
  </si>
  <si>
    <t>Score bằng expected fixture.</t>
  </si>
  <si>
    <t>Đi nhánh nâng cao.</t>
  </si>
  <si>
    <t>Đi nhánh &gt;=8.</t>
  </si>
  <si>
    <t>Không đi nhánh nâng cao.</t>
  </si>
  <si>
    <t>Reference missing được phát hiện.</t>
  </si>
  <si>
    <t>Bị cảnh báo/lỗi compatibility phù hợp.</t>
  </si>
  <si>
    <t>Nội dung tiếng Việt đúng xuyên suốt.</t>
  </si>
  <si>
    <t>Input 1: Text dài | Input 2: longAnswer</t>
  </si>
  <si>
    <t>Choice needs options</t>
  </si>
  <si>
    <t>Input 1: SQ rows | Input 2: A columns</t>
  </si>
  <si>
    <t>Không orphan</t>
  </si>
  <si>
    <t>ID logic ổn định</t>
  </si>
  <si>
    <t>Value đúng</t>
  </si>
  <si>
    <t>Boundary chọn được</t>
  </si>
  <si>
    <t>Không truncate bất thường</t>
  </si>
  <si>
    <t>Không rỗng/đảo nhãn</t>
  </si>
  <si>
    <t>Không duplicate</t>
  </si>
  <si>
    <t>Route trace hợp lý</t>
  </si>
  <si>
    <t>Đúng kiểu số</t>
  </si>
  <si>
    <t>Không hiện nhánh thấp</t>
  </si>
  <si>
    <t>Không off-by-one</t>
  </si>
  <si>
    <t>Không hiện 2 nhánh</t>
  </si>
  <si>
    <t>Không orphan question</t>
  </si>
  <si>
    <t>Không tạo câu không dùng được</t>
  </si>
  <si>
    <t>Không đổi locale ngoài ý muốn</t>
  </si>
  <si>
    <t>Input 1: Yes/No | Input 2: -</t>
  </si>
  <si>
    <t>Input 1: Q_profile=A | Input 2: Target group B</t>
  </si>
  <si>
    <t>Input 1: score_total | Input 2: q1+q2+q3</t>
  </si>
  <si>
    <t>Input 1: score&gt;=8 | Input 2: Nhánh nâng cao</t>
  </si>
  <si>
    <t>Input 1: score=8 | Input 2: -</t>
  </si>
  <si>
    <t>Input 1: score=7 | Input 2: -</t>
  </si>
  <si>
    <t>Input 1: parent group missing | Input 2: Validate</t>
  </si>
  <si>
    <t>Input 1: Type choice | Input 2: 0-1 option</t>
  </si>
  <si>
    <t>Input 1: language=vi | Input 2: Text có dấu</t>
  </si>
  <si>
    <t>Verified | https://github.com/Royal2005-coder/formailab/tree/ef92d78aa86916e6fbf4bc8a43044a4a4328154d/apps/web/lib/response/service.ts</t>
  </si>
  <si>
    <t>Survey public</t>
  </si>
  <si>
    <t>Active và nhận phản hồi</t>
  </si>
  <si>
    <t>Archived/closed/không tồn tại</t>
  </si>
  <si>
    <t>Ngay trước khi survey đóng</t>
  </si>
  <si>
    <t>Sau khi survey đã đóng</t>
  </si>
  <si>
    <t>Có trả lời</t>
  </si>
  <si>
    <t>Giá trị vừa đủ hợp lệ</t>
  </si>
  <si>
    <t>Rỗng/null</t>
  </si>
  <si>
    <t>Trong thang hợp lệ</t>
  </si>
  <si>
    <t>Ngoài thang / sai kiểu</t>
  </si>
  <si>
    <t>Min và Max của thang</t>
  </si>
  <si>
    <t>Min-1 / Max+1</t>
  </si>
  <si>
    <t>Độ dài text</t>
  </si>
  <si>
    <t>≤ giới hạn cấu hình</t>
  </si>
  <si>
    <t>Sai định dạng/không hợp lệ</t>
  </si>
  <si>
    <t>Đúng giới hạn tối đa cấu hình</t>
  </si>
  <si>
    <t>Vượt giới hạn 1 ký tự</t>
  </si>
  <si>
    <t>Một lần hợp lệ</t>
  </si>
  <si>
    <t>Request lỗi/không hợp lệ</t>
  </si>
  <si>
    <t>Double-click sát thời điểm submit</t>
  </si>
  <si>
    <t>Submit lặp tạo duplicate</t>
  </si>
  <si>
    <t>RESP-002</t>
  </si>
  <si>
    <t>RESP-003</t>
  </si>
  <si>
    <t>RESP-004</t>
  </si>
  <si>
    <t>RESP-005</t>
  </si>
  <si>
    <t>RESP-006</t>
  </si>
  <si>
    <t>RESP-007</t>
  </si>
  <si>
    <t>RESP-008</t>
  </si>
  <si>
    <t>RESP-009</t>
  </si>
  <si>
    <t>RESP-010</t>
  </si>
  <si>
    <t>RESP-011</t>
  </si>
  <si>
    <t>RESP-012</t>
  </si>
  <si>
    <t>RESP-013</t>
  </si>
  <si>
    <t>RESP-014</t>
  </si>
  <si>
    <t>RESP-015</t>
  </si>
  <si>
    <t>Mở public survey</t>
  </si>
  <si>
    <t>Gửi response hợp lệ</t>
  </si>
  <si>
    <t>Required bỏ trống</t>
  </si>
  <si>
    <t>Single choice chỉ lưu một option</t>
  </si>
  <si>
    <t>Multiple choice lưu nhiều option</t>
  </si>
  <si>
    <t>Open text tiếng Việt</t>
  </si>
  <si>
    <t>Rating/NPS biên</t>
  </si>
  <si>
    <t>Rẽ nhánh theo câu trả lời</t>
  </si>
  <si>
    <t>Response chưa hoàn tất</t>
  </si>
  <si>
    <t>Submit lặp do double click</t>
  </si>
  <si>
    <t>Survey archived/closed</t>
  </si>
  <si>
    <t>Dữ liệu vượt giới hạn field</t>
  </si>
  <si>
    <t>Refresh giữa survey</t>
  </si>
  <si>
    <t>Hai respondent độc lập</t>
  </si>
  <si>
    <t>Response thuộc đúng survey/workspace</t>
  </si>
  <si>
    <t>Survey active</t>
  </si>
  <si>
    <t>Có required question</t>
  </si>
  <si>
    <t>Có single choice</t>
  </si>
  <si>
    <t>Có multi choice</t>
  </si>
  <si>
    <t>Có open text</t>
  </si>
  <si>
    <t>Có scale</t>
  </si>
  <si>
    <t>Survey có logic</t>
  </si>
  <si>
    <t>Survey dài</t>
  </si>
  <si>
    <t>Kết nối chậm</t>
  </si>
  <si>
    <t>Survey không còn active</t>
  </si>
  <si>
    <t>Field có validation</t>
  </si>
  <si>
    <t>Đang trả lời</t>
  </si>
  <si>
    <t>Hai browser/session</t>
  </si>
  <si>
    <t>Có nhiều survey</t>
  </si>
  <si>
    <t>Public URL</t>
  </si>
  <si>
    <t>Dữ liệu hợp lệ</t>
  </si>
  <si>
    <t>Option B</t>
  </si>
  <si>
    <t>A + C</t>
  </si>
  <si>
    <t>Phản hồi tiếng Việt có dấu</t>
  </si>
  <si>
    <t>Min và Max</t>
  </si>
  <si>
    <t>Nhánh A</t>
  </si>
  <si>
    <t>Thoát giữa chừng</t>
  </si>
  <si>
    <t>Double click Submit</t>
  </si>
  <si>
    <t>Public URL cũ</t>
  </si>
  <si>
    <t>Text/quy tắc vượt giới hạn</t>
  </si>
  <si>
    <t>User A</t>
  </si>
  <si>
    <t>Survey A response</t>
  </si>
  <si>
    <t>Next/Submit</t>
  </si>
  <si>
    <t>Hai lượt response</t>
  </si>
  <si>
    <t>Nhánh B</t>
  </si>
  <si>
    <t>Unfinished</t>
  </si>
  <si>
    <t>State hiện tại</t>
  </si>
  <si>
    <t>User B</t>
  </si>
  <si>
    <t>Survey B analysis</t>
  </si>
  <si>
    <t>Mở link ở browser/incognito</t>
  </si>
  <si>
    <t>Trả lời câu hỏi</t>
  </si>
  <si>
    <t>Đi tới câu required</t>
  </si>
  <si>
    <t>Chọn B</t>
  </si>
  <si>
    <t>Chọn A,C</t>
  </si>
  <si>
    <t>Nhập text</t>
  </si>
  <si>
    <t>Lượt 1 chọn min</t>
  </si>
  <si>
    <t>Trả lời điều kiện A</t>
  </si>
  <si>
    <t>Trả lời vài câu</t>
  </si>
  <si>
    <t>Đi tới cuối</t>
  </si>
  <si>
    <t>Nhập dữ liệu vượt chuẩn</t>
  </si>
  <si>
    <t>Mở survey ở hai session</t>
  </si>
  <si>
    <t>Submit A</t>
  </si>
  <si>
    <t>Input 1: Public URL | Input 2: -</t>
  </si>
  <si>
    <t>Survey tải và cho phép trả lời.</t>
  </si>
  <si>
    <t>Không trả lời</t>
  </si>
  <si>
    <t>Đi tiếp</t>
  </si>
  <si>
    <t>Theo route</t>
  </si>
  <si>
    <t>Đóng tab/thoát</t>
  </si>
  <si>
    <t>Click Submit nhanh 2 lần</t>
  </si>
  <si>
    <t>Bấm tiếp</t>
  </si>
  <si>
    <t>Trả lời khác nhau</t>
  </si>
  <si>
    <t>Input 1: Dữ liệu hợp lệ | Input 2: Submit</t>
  </si>
  <si>
    <t>Response được lưu và marked finished theo flow.</t>
  </si>
  <si>
    <t>Kiểm tra title</t>
  </si>
  <si>
    <t>Bấm Submit</t>
  </si>
  <si>
    <t>Mở response</t>
  </si>
  <si>
    <t>Lượt 2 chọn max</t>
  </si>
  <si>
    <t>Làm lại với B</t>
  </si>
  <si>
    <t>Mở analysis/admin</t>
  </si>
  <si>
    <t>Chờ</t>
  </si>
  <si>
    <t>Thử submit</t>
  </si>
  <si>
    <t>Quan sát restore</t>
  </si>
  <si>
    <t>Submit cả hai</t>
  </si>
  <si>
    <t>Tìm response A</t>
  </si>
  <si>
    <t>Input 1: Bỏ trống | Input 2: Next/Submit</t>
  </si>
  <si>
    <t>Bị chặn với validation rõ ràng.</t>
  </si>
  <si>
    <t>Bắt đầu survey</t>
  </si>
  <si>
    <t>Mở trang kết thúc</t>
  </si>
  <si>
    <t>Mở response detail</t>
  </si>
  <si>
    <t>Export thử</t>
  </si>
  <si>
    <t>So sánh</t>
  </si>
  <si>
    <t>Kiểm tra status</t>
  </si>
  <si>
    <t>Kiểm tra response count</t>
  </si>
  <si>
    <t>Không bypass</t>
  </si>
  <si>
    <t>Mở admin</t>
  </si>
  <si>
    <t>Đối chiếu A</t>
  </si>
  <si>
    <t>Input 1: Option B | Input 2: -</t>
  </si>
  <si>
    <t>Chỉ B được lưu.</t>
  </si>
  <si>
    <t>A và C được lưu đúng.</t>
  </si>
  <si>
    <t>Text giữ nguyên encoding.</t>
  </si>
  <si>
    <t>Cả hai giá trị biên lưu chính xác.</t>
  </si>
  <si>
    <t>Mỗi lượt chỉ đi các câu phù hợp.</t>
  </si>
  <si>
    <t>Response partial nếu hệ thống lưu partial; không bị tính finished.</t>
  </si>
  <si>
    <t>Không tạo duplicate ngoài thiết kế/idempotency.</t>
  </si>
  <si>
    <t>Người dùng thấy trạng thái đóng/không thể submit.</t>
  </si>
  <si>
    <t>Chặn dữ liệu không hợp lệ theo rule.</t>
  </si>
  <si>
    <t>Hành vi nhất quán với thiết kế session; không corrupt response.</t>
  </si>
  <si>
    <t>Tạo hai response độc lập.</t>
  </si>
  <si>
    <t>Response không xuất hiện ở survey B trái context.</t>
  </si>
  <si>
    <t>Input 1: A + C | Input 2: -</t>
  </si>
  <si>
    <t>Required</t>
  </si>
  <si>
    <t>Survey unavailable</t>
  </si>
  <si>
    <t>Validation</t>
  </si>
  <si>
    <t>Input 1: Phản hồi tiếng Việt có dấu | Input 2: -</t>
  </si>
  <si>
    <t>Đúng survey</t>
  </si>
  <si>
    <t>Response count tăng</t>
  </si>
  <si>
    <t>Không finished sai</t>
  </si>
  <si>
    <t>Không lưu option khác</t>
  </si>
  <si>
    <t>Không mất thứ tự/giá trị</t>
  </si>
  <si>
    <t>Không lỗi Unicode</t>
  </si>
  <si>
    <t>Không lệch scale</t>
  </si>
  <si>
    <t>Hidden question không yêu cầu sai</t>
  </si>
  <si>
    <t>finished=false</t>
  </si>
  <si>
    <t>Một submission logic</t>
  </si>
  <si>
    <t>Không tạo response mới</t>
  </si>
  <si>
    <t>Không lưu giá trị lỗi</t>
  </si>
  <si>
    <t>Không tạo response rác</t>
  </si>
  <si>
    <t>Không trộn data</t>
  </si>
  <si>
    <t>Không cross-survey leak</t>
  </si>
  <si>
    <t>Input 1: Min và Max | Input 2: Hai lượt response</t>
  </si>
  <si>
    <t>Input 1: Nhánh A | Input 2: Nhánh B</t>
  </si>
  <si>
    <t>Input 1: Thoát giữa chừng | Input 2: Unfinished</t>
  </si>
  <si>
    <t>Input 1: Double click Submit | Input 2: -</t>
  </si>
  <si>
    <t>Input 1: Public URL cũ | Input 2: -</t>
  </si>
  <si>
    <t>Input 1: Text/quy tắc vượt giới hạn | Input 2: Submit</t>
  </si>
  <si>
    <t>Input 1: Refresh | Input 2: State hiện tại</t>
  </si>
  <si>
    <t>Input 1: User A | Input 2: User B</t>
  </si>
  <si>
    <t>Input 1: Survey A response | Input 2: Survey B analysis</t>
  </si>
  <si>
    <t>Verified/Risk | https://github.com/Royal2005-coder/formailab/tree/ef92d78aa86916e6fbf4bc8a43044a4a4328154d/apps/web/modules/ai-lab-survey/components/insights-dashboard.tsx</t>
  </si>
  <si>
    <t>Số phản hồi</t>
  </si>
  <si>
    <t>&gt;0</t>
  </si>
  <si>
    <t>Dữ liệu/ID survey không hợp lệ</t>
  </si>
  <si>
    <t>0 phản hồi</t>
  </si>
  <si>
    <t>Âm/giá trị không thể xảy ra từ dữ liệu hợp lệ</t>
  </si>
  <si>
    <t>Completion rate</t>
  </si>
  <si>
    <t>0–100%</t>
  </si>
  <si>
    <t>Ngoài 0–100% nếu dữ liệu lỗi</t>
  </si>
  <si>
    <t>0% / 100%</t>
  </si>
  <si>
    <t>&lt;0% / &gt;100%</t>
  </si>
  <si>
    <t>Average score</t>
  </si>
  <si>
    <t>Có numeric score hợp lệ</t>
  </si>
  <si>
    <t>Score sai kiểu</t>
  </si>
  <si>
    <t>Không có score → hiển thị —</t>
  </si>
  <si>
    <t>NaN/Infinity</t>
  </si>
  <si>
    <t>Export CSV</t>
  </si>
  <si>
    <t>Có dữ liệu hợp lệ</t>
  </si>
  <si>
    <t>Dữ liệu/format export lỗi</t>
  </si>
  <si>
    <t>0 response → header-only</t>
  </si>
  <si>
    <t>Text có dấu phẩy/quote cần escape</t>
  </si>
  <si>
    <t>Quyền phân tích</t>
  </si>
  <si>
    <t>User có quyền đọc</t>
  </si>
  <si>
    <t>read được xem nhưng không ghi</t>
  </si>
  <si>
    <t>Cross-workspace</t>
  </si>
  <si>
    <t>ANLY-002</t>
  </si>
  <si>
    <t>ANLY-003</t>
  </si>
  <si>
    <t>ANLY-004</t>
  </si>
  <si>
    <t>ANLY-005</t>
  </si>
  <si>
    <t>ANLY-006</t>
  </si>
  <si>
    <t>ANLY-007</t>
  </si>
  <si>
    <t>ANLY-008</t>
  </si>
  <si>
    <t>ANLY-009</t>
  </si>
  <si>
    <t>ANLY-010</t>
  </si>
  <si>
    <t>ANLY-011</t>
  </si>
  <si>
    <t>ANLY-012</t>
  </si>
  <si>
    <t>ANLY-013</t>
  </si>
  <si>
    <t>ANLY-014</t>
  </si>
  <si>
    <t>ANLY-015</t>
  </si>
  <si>
    <t>Tổng số phản hồi đúng</t>
  </si>
  <si>
    <t>Completion rate đúng</t>
  </si>
  <si>
    <t>Average score đúng</t>
  </si>
  <si>
    <t>Không có score</t>
  </si>
  <si>
    <t>Phân bố câu trả lời</t>
  </si>
  <si>
    <t>Bộ lọc theo thời gian/thuộc tính</t>
  </si>
  <si>
    <t>Chuyển kiểu biểu đồ</t>
  </si>
  <si>
    <t>CSV có dấu phẩy/quote</t>
  </si>
  <si>
    <t>Export không có responses</t>
  </si>
  <si>
    <t>XLSX đúng định dạng theo nhãn UI</t>
  </si>
  <si>
    <t>SPSS output đúng cam kết</t>
  </si>
  <si>
    <t>Filter không làm lẫn workspace</t>
  </si>
  <si>
    <t>Gắn tag/nhãn response nếu feature bật</t>
  </si>
  <si>
    <t>Quyền read xem analysis, không mutate admin-only</t>
  </si>
  <si>
    <t>Fixture biết trước</t>
  </si>
  <si>
    <t>10 total, 8 finished</t>
  </si>
  <si>
    <t>Có score fixture</t>
  </si>
  <si>
    <t>averageScore=null</t>
  </si>
  <si>
    <t>Fixture frequency biết trước</t>
  </si>
  <si>
    <t>Có responses đa thời điểm</t>
  </si>
  <si>
    <t>Có dữ liệu</t>
  </si>
  <si>
    <t>Có responses</t>
  </si>
  <si>
    <t>Text đặc biệt</t>
  </si>
  <si>
    <t>responseCount=0</t>
  </si>
  <si>
    <t>Build hiển thị XLSX</t>
  </si>
  <si>
    <t>Build có SPSS action</t>
  </si>
  <si>
    <t>Có A/B</t>
  </si>
  <si>
    <t>Feature tag khả dụng</t>
  </si>
  <si>
    <t>10 responses</t>
  </si>
  <si>
    <t>8/10</t>
  </si>
  <si>
    <t>Known scores</t>
  </si>
  <si>
    <t>No score</t>
  </si>
  <si>
    <t>Top values</t>
  </si>
  <si>
    <t>Filter hợp lệ</t>
  </si>
  <si>
    <t>Column/Pie/Radar/Line</t>
  </si>
  <si>
    <t>CSV</t>
  </si>
  <si>
    <t>Xin chào, "AI"</t>
  </si>
  <si>
    <t>Export XLSX</t>
  </si>
  <si>
    <t>SPSS Syntax &amp; Data</t>
  </si>
  <si>
    <t>Filter tại A</t>
  </si>
  <si>
    <t>Tag hợp lệ</t>
  </si>
  <si>
    <t>80%</t>
  </si>
  <si>
    <t>Expected average</t>
  </si>
  <si>
    <t>Counts</t>
  </si>
  <si>
    <t>Expected subset</t>
  </si>
  <si>
    <t>UTF-8</t>
  </si>
  <si>
    <t>CSV export</t>
  </si>
  <si>
    <t>0 rows</t>
  </si>
  <si>
    <t>File signature/extension</t>
  </si>
  <si>
    <t>Expected package/syntax</t>
  </si>
  <si>
    <t>Data B</t>
  </si>
  <si>
    <t>Response</t>
  </si>
  <si>
    <t>Write control</t>
  </si>
  <si>
    <t>Mở Analysis/Insights</t>
  </si>
  <si>
    <t>Mở dashboard</t>
  </si>
  <si>
    <t>Mở chart</t>
  </si>
  <si>
    <t>Chọn filter</t>
  </si>
  <si>
    <t>Chọn từng chart type</t>
  </si>
  <si>
    <t>Bấm Export CSV</t>
  </si>
  <si>
    <t>Export</t>
  </si>
  <si>
    <t>Bấm export SPSS</t>
  </si>
  <si>
    <t>Mở response/analysis</t>
  </si>
  <si>
    <t>Đăng nhập read</t>
  </si>
  <si>
    <t>Input 1: 10 responses | Input 2: -</t>
  </si>
  <si>
    <t>Hiển thị đúng 10.</t>
  </si>
  <si>
    <t>Đọc tổng response</t>
  </si>
  <si>
    <t>Đọc completed</t>
  </si>
  <si>
    <t>Đọc average</t>
  </si>
  <si>
    <t>Quan sát score</t>
  </si>
  <si>
    <t>Đọc top values</t>
  </si>
  <si>
    <t>Apply</t>
  </si>
  <si>
    <t>Quan sát data</t>
  </si>
  <si>
    <t>Mở file</t>
  </si>
  <si>
    <t>Mở bằng Excel/text editor</t>
  </si>
  <si>
    <t>Mở output</t>
  </si>
  <si>
    <t>Apply filter</t>
  </si>
  <si>
    <t>Gắn tag</t>
  </si>
  <si>
    <t>Input 1: 8/10 | Input 2: 80%</t>
  </si>
  <si>
    <t>Completion rate=80%.</t>
  </si>
  <si>
    <t>So fixture</t>
  </si>
  <si>
    <t>Đọc %</t>
  </si>
  <si>
    <t>Tính tay</t>
  </si>
  <si>
    <t>So count</t>
  </si>
  <si>
    <t>Đọc KPI/chart</t>
  </si>
  <si>
    <t>Chuyển qua lại</t>
  </si>
  <si>
    <t>Kiểm tra header</t>
  </si>
  <si>
    <t>Kiểm tra cột</t>
  </si>
  <si>
    <t>Kiểm tra loại file</t>
  </si>
  <si>
    <t>Kiểm tra nội dung</t>
  </si>
  <si>
    <t>Kiểm tra IDs</t>
  </si>
  <si>
    <t>Filter theo tag</t>
  </si>
  <si>
    <t>Tìm control write</t>
  </si>
  <si>
    <t>Input 1: Known scores | Input 2: Expected average</t>
  </si>
  <si>
    <t>Average đúng fixture.</t>
  </si>
  <si>
    <t>Chuyển chart</t>
  </si>
  <si>
    <t>Clear filter</t>
  </si>
  <si>
    <t>Resize</t>
  </si>
  <si>
    <t>Đếm rows</t>
  </si>
  <si>
    <t>So source</t>
  </si>
  <si>
    <t>Đối chiếu nhãn UI</t>
  </si>
  <si>
    <t>Đối chiếu nhãn</t>
  </si>
  <si>
    <t>So B</t>
  </si>
  <si>
    <t>Thử nếu có</t>
  </si>
  <si>
    <t>Input 1: No score | Input 2: -</t>
  </si>
  <si>
    <t>Hiển thị dấu —/empty hợp lý, không giả 0.</t>
  </si>
  <si>
    <t>Frequency và count đúng.</t>
  </si>
  <si>
    <t>KPI/chart chỉ tính subset; clear khôi phục.</t>
  </si>
  <si>
    <t>Không mất dữ liệu/crash khi đổi view.</t>
  </si>
  <si>
    <t>CSV đọc được; row/header đúng; tiếng Việt đúng.</t>
  </si>
  <si>
    <t>Không lệch cột; quote được escape.</t>
  </si>
  <si>
    <t>Header-only hoặc thông báo hợp lệ; không crash.</t>
  </si>
  <si>
    <t>Nếu UI cam kết XLSX thì output phải là XLSX thật.</t>
  </si>
  <si>
    <t>Output đúng format được UI mô tả.</t>
  </si>
  <si>
    <t>Không có dữ liệu B trong A.</t>
  </si>
  <si>
    <t>Tag lưu và filter đúng.</t>
  </si>
  <si>
    <t>Đọc được dữ liệu cho phép; write bị chặn.</t>
  </si>
  <si>
    <t>Input 1: Top values | Input 2: Counts</t>
  </si>
  <si>
    <t>Sai định dạng nếu chỉ là CSV</t>
  </si>
  <si>
    <t>Sai định dạng nếu chỉ CSV</t>
  </si>
  <si>
    <t>Input 1: Filter hợp lệ | Input 2: Expected subset</t>
  </si>
  <si>
    <t>Không hard-code</t>
  </si>
  <si>
    <t>Không chia sai</t>
  </si>
  <si>
    <t>Không NaN</t>
  </si>
  <si>
    <t>Array values xử lý đúng</t>
  </si>
  <si>
    <t>Không state stale</t>
  </si>
  <si>
    <t>Selected state rõ</t>
  </si>
  <si>
    <t>Có escape chuẩn</t>
  </si>
  <si>
    <t>Dữ liệu nguyên nghĩa</t>
  </si>
  <si>
    <t>Không undefined</t>
  </si>
  <si>
    <t>Risk đã xác minh trong source</t>
  </si>
  <si>
    <t>Risk source hiện dùng text/csv</t>
  </si>
  <si>
    <t>Tenant isolation</t>
  </si>
  <si>
    <t>Không ảnh hưởng response khác</t>
  </si>
  <si>
    <t>Không mutate</t>
  </si>
  <si>
    <t>Input 1: Column/Pie/Radar/Line | Input 2: -</t>
  </si>
  <si>
    <t>Input 1: CSV | Input 2: UTF-8</t>
  </si>
  <si>
    <t>Input 1: Xin chào, "AI" | Input 2: CSV export</t>
  </si>
  <si>
    <t>Input 1: CSV | Input 2: 0 rows</t>
  </si>
  <si>
    <t>Input 1: Export XLSX | Input 2: File signature/extension</t>
  </si>
  <si>
    <t>Input 1: SPSS Syntax &amp; Data | Input 2: Expected package/syntax</t>
  </si>
  <si>
    <t>Input 1: Filter tại A | Input 2: Data B</t>
  </si>
  <si>
    <t>Input 1: Tag hợp lệ | Input 2: Response</t>
  </si>
  <si>
    <t>Input 1: Analysis | Input 2: Write control</t>
  </si>
  <si>
    <t>Verified | https://github.com/Royal2005-coder/formailab/tree/ef92d78aa86916e6fbf4bc8a43044a4a4328154d/apps/web/modules/survey/components/template-list/components/create-with-ai-form.tsx</t>
  </si>
  <si>
    <t>Độ dài prompt</t>
  </si>
  <si>
    <t>4–50.000 ký tự</t>
  </si>
  <si>
    <t>Rỗng / dữ liệu không hợp lệ</t>
  </si>
  <si>
    <t>4 hoặc 50.000 ký tự</t>
  </si>
  <si>
    <t>3 hoặc 50.001 ký tự</t>
  </si>
  <si>
    <t>File context</t>
  </si>
  <si>
    <t>.docx/.doc/.pdf/.txt/.csv/.md/.json</t>
  </si>
  <si>
    <t>Định dạng không hỗ trợ</t>
  </si>
  <si>
    <t>File nhỏ nhất parse được</t>
  </si>
  <si>
    <t>File không đọc/parse được</t>
  </si>
  <si>
    <t>AI availability</t>
  </si>
  <si>
    <t>Entitled + enabled + configured</t>
  </si>
  <si>
    <t>not_in_plan / not_enabled / instance_not_configured</t>
  </si>
  <si>
    <t>Prompt hợp lệ đúng min</t>
  </si>
  <si>
    <t>Prompt dưới min</t>
  </si>
  <si>
    <t>Payload AI</t>
  </si>
  <si>
    <t>Survey payload hợp lệ</t>
  </si>
  <si>
    <t>Payload sai schema</t>
  </si>
  <si>
    <t>Payload tối thiểu vẫn hợp lệ</t>
  </si>
  <si>
    <t>Thiếu trường bắt buộc</t>
  </si>
  <si>
    <t>Quyền tạo</t>
  </si>
  <si>
    <t>readWrite vừa đủ</t>
  </si>
  <si>
    <t>read-only</t>
  </si>
  <si>
    <t>AIG-001</t>
  </si>
  <si>
    <t>AIG-002</t>
  </si>
  <si>
    <t>AIG-003</t>
  </si>
  <si>
    <t>AIG-004</t>
  </si>
  <si>
    <t>AIG-005</t>
  </si>
  <si>
    <t>AIG-006</t>
  </si>
  <si>
    <t>AIG-007</t>
  </si>
  <si>
    <t>AIG-008</t>
  </si>
  <si>
    <t>AIG-009</t>
  </si>
  <si>
    <t>AIG-010</t>
  </si>
  <si>
    <t>AIG-011</t>
  </si>
  <si>
    <t>AIG-012</t>
  </si>
  <si>
    <t>AIG-013</t>
  </si>
  <si>
    <t>AIG-014</t>
  </si>
  <si>
    <t>AIG-015</t>
  </si>
  <si>
    <t>Prompt tiếng Việt tạo survey</t>
  </si>
  <si>
    <t>Prompt tiếng Anh</t>
  </si>
  <si>
    <t>Helper prompt</t>
  </si>
  <si>
    <t>Ctrl/Cmd+Enter submit</t>
  </si>
  <si>
    <t>Đính kèm PDF/DOCX/TXT</t>
  </si>
  <si>
    <t>Đính kèm CSV/MD/JSON</t>
  </si>
  <si>
    <t>Xóa badge file</t>
  </si>
  <si>
    <t>Prompt 3 ký tự</t>
  </si>
  <si>
    <t>Prompt đúng 4 ký tự</t>
  </si>
  <si>
    <t>Prompt 50.000 ký tự</t>
  </si>
  <si>
    <t>AI không thuộc plan</t>
  </si>
  <si>
    <t>AI Smart Tools tắt</t>
  </si>
  <si>
    <t>AI instance chưa cấu hình</t>
  </si>
  <si>
    <t>AI trả payload invalid</t>
  </si>
  <si>
    <t>Provider timeout/500</t>
  </si>
  <si>
    <t>AI available; readWrite</t>
  </si>
  <si>
    <t>AI available</t>
  </si>
  <si>
    <t>Prompt hợp lệ</t>
  </si>
  <si>
    <t>Đã attach</t>
  </si>
  <si>
    <t>Entitlement=false</t>
  </si>
  <si>
    <t>Entitled nhưng disabled</t>
  </si>
  <si>
    <t>Instance not configured</t>
  </si>
  <si>
    <t>Mock invalid response</t>
  </si>
  <si>
    <t>Mock network/provider lỗi</t>
  </si>
  <si>
    <t>Tạo khảo sát hài lòng khách hàng 5 câu</t>
  </si>
  <si>
    <t>Create an NPS survey for SaaS onboarding</t>
  </si>
  <si>
    <t>Helper card</t>
  </si>
  <si>
    <t>Ctrl+Enter</t>
  </si>
  <si>
    <t>sample.pdf/docx/txt</t>
  </si>
  <si>
    <t>context.csv/md/json</t>
  </si>
  <si>
    <t>Remove X</t>
  </si>
  <si>
    <t>abc</t>
  </si>
  <si>
    <t>test</t>
  </si>
  <si>
    <t>50,000 chars</t>
  </si>
  <si>
    <t>not_in_plan</t>
  </si>
  <si>
    <t>not_enabled</t>
  </si>
  <si>
    <t>instance_not_configured</t>
  </si>
  <si>
    <t>Invalid survey payload</t>
  </si>
  <si>
    <t>timeout/500</t>
  </si>
  <si>
    <t>en-US</t>
  </si>
  <si>
    <t>Prompt bổ sung</t>
  </si>
  <si>
    <t>len=3</t>
  </si>
  <si>
    <t>len=4</t>
  </si>
  <si>
    <t>maxlength</t>
  </si>
  <si>
    <t>Valid prompt</t>
  </si>
  <si>
    <t>Mở Create with AI</t>
  </si>
  <si>
    <t>Nhập prompt</t>
  </si>
  <si>
    <t>Mở AI form</t>
  </si>
  <si>
    <t>Attach file</t>
  </si>
  <si>
    <t>Attach</t>
  </si>
  <si>
    <t>Paste</t>
  </si>
  <si>
    <t>Mở form</t>
  </si>
  <si>
    <t>Trigger generation fixture</t>
  </si>
  <si>
    <t>Input 1: Tạo khảo sát hài lòng khách hàng 5 câu | Input 2: language=vi</t>
  </si>
  <si>
    <t>Survey được tạo, nội dung liên quan prompt.</t>
  </si>
  <si>
    <t>Create</t>
  </si>
  <si>
    <t>Click helper</t>
  </si>
  <si>
    <t>Nhấn shortcut</t>
  </si>
  <si>
    <t>Chờ parse</t>
  </si>
  <si>
    <t>Bấm X</t>
  </si>
  <si>
    <t>Quan sát Create</t>
  </si>
  <si>
    <t>Đọc counter</t>
  </si>
  <si>
    <t>Quan sát alert</t>
  </si>
  <si>
    <t>Quan sát action</t>
  </si>
  <si>
    <t>Thử Create</t>
  </si>
  <si>
    <t>Chờ validation</t>
  </si>
  <si>
    <t>Input 1: Create an NPS survey for SaaS onboarding | Input 2: en-US</t>
  </si>
  <si>
    <t>Nội dung phù hợp prompt/ngôn ngữ.</t>
  </si>
  <si>
    <t>Kiểm tra textarea</t>
  </si>
  <si>
    <t>Kiểm tra prompt/badge</t>
  </si>
  <si>
    <t>Quan sát badge</t>
  </si>
  <si>
    <t>Thử nhập thêm</t>
  </si>
  <si>
    <t>Tìm Create</t>
  </si>
  <si>
    <t>Quan sát error</t>
  </si>
  <si>
    <t>Chờ lỗi</t>
  </si>
  <si>
    <t>Input 1: Helper card | Input 2: -</t>
  </si>
  <si>
    <t>Helper điền prompt và tạo survey được.</t>
  </si>
  <si>
    <t>Đọc câu hỏi</t>
  </si>
  <si>
    <t>Kiểm tra survey count</t>
  </si>
  <si>
    <t>Tiếp tục prompt</t>
  </si>
  <si>
    <t>Create nếu phù hợp</t>
  </si>
  <si>
    <t>Kiểm tra survey list</t>
  </si>
  <si>
    <t>Retry</t>
  </si>
  <si>
    <t>Input 1: Ctrl+Enter | Input 2: -</t>
  </si>
  <si>
    <t>Tương đương Create và không submit lặp.</t>
  </si>
  <si>
    <t>Text trích xuất được dùng làm context.</t>
  </si>
  <si>
    <t>Loại file được hỗ trợ làm context.</t>
  </si>
  <si>
    <t>Badge biến mất; UI ổn định.</t>
  </si>
  <si>
    <t>Không cho create.</t>
  </si>
  <si>
    <t>Được phép submit nếu AI available.</t>
  </si>
  <si>
    <t>Textarea không vượt 50.000; UI không vỡ.</t>
  </si>
  <si>
    <t>Thông báo plan và không submit.</t>
  </si>
  <si>
    <t>Thông báo bật AI; Create không khả dụng.</t>
  </si>
  <si>
    <t>Thông báo cấu hình AI; không tạo survey.</t>
  </si>
  <si>
    <t>Báo payload invalid; không tạo survey.</t>
  </si>
  <si>
    <t>Lỗi thân thiện; hết busy; không survey rác.</t>
  </si>
  <si>
    <t>Input 1: sample.pdf/docx/txt | Input 2: Prompt bổ sung</t>
  </si>
  <si>
    <t>AI not in plan</t>
  </si>
  <si>
    <t>AI disabled</t>
  </si>
  <si>
    <t>ai_generated_payload_invalid</t>
  </si>
  <si>
    <t>Something went wrong</t>
  </si>
  <si>
    <t>Input 1: context.csv/md/json | Input 2: -</t>
  </si>
  <si>
    <t>Payload hợp lệ</t>
  </si>
  <si>
    <t>Không trộn ngôn ngữ vô lý</t>
  </si>
  <si>
    <t>Prompt đúng helper</t>
  </si>
  <si>
    <t>Một survey</t>
  </si>
  <si>
    <t>Tên/kích thước file hiển thị</t>
  </si>
  <si>
    <t>Không extension error</t>
  </si>
  <si>
    <t>MIN=4</t>
  </si>
  <si>
    <t>Boundary min</t>
  </si>
  <si>
    <t>MAX=50000</t>
  </si>
  <si>
    <t>Không gọi generate</t>
  </si>
  <si>
    <t>Không gọi provider</t>
  </si>
  <si>
    <t>Không payload</t>
  </si>
  <si>
    <t>Không navigate editor</t>
  </si>
  <si>
    <t>Có thể retry</t>
  </si>
  <si>
    <t>Input 1: Remove X | Input 2: -</t>
  </si>
  <si>
    <t>Input 1: abc | Input 2: len=3</t>
  </si>
  <si>
    <t>Input 1: test | Input 2: len=4</t>
  </si>
  <si>
    <t>Input 1: 50,000 chars | Input 2: maxlength</t>
  </si>
  <si>
    <t>Input 1: not_in_plan | Input 2: -</t>
  </si>
  <si>
    <t>Input 1: not_enabled | Input 2: -</t>
  </si>
  <si>
    <t>Input 1: instance_not_configured | Input 2: -</t>
  </si>
  <si>
    <t>Input 1: Invalid survey payload | Input 2: -</t>
  </si>
  <si>
    <t>Input 1: timeout/500 | Input 2: Valid prompt</t>
  </si>
  <si>
    <t>Verified | https://github.com/Royal2005-coder/formailab/tree/ef92d78aa86916e6fbf4bc8a43044a4a4328154d/apps/web/modules/ee/ai-translation/lib/actions.ts</t>
  </si>
  <si>
    <t>Số field cần dịch</t>
  </si>
  <si>
    <t>≥1 field</t>
  </si>
  <si>
    <t>0 field</t>
  </si>
  <si>
    <t>1 field</t>
  </si>
  <si>
    <t>Ngôn ngữ nguồn/đích</t>
  </si>
  <si>
    <t>Mã ngôn ngữ không rỗng, hợp lệ</t>
  </si>
  <si>
    <t>Rỗng / không hỗ trợ</t>
  </si>
  <si>
    <t>Chuỗi tối thiểu được schema nhận</t>
  </si>
  <si>
    <t>Chuỗi rỗng</t>
  </si>
  <si>
    <t>Quyền dịch</t>
  </si>
  <si>
    <t>read</t>
  </si>
  <si>
    <t>Thiếu một trong ba điều kiện</t>
  </si>
  <si>
    <t>Đủ cấu hình ở thời điểm gọi</t>
  </si>
  <si>
    <t>Vừa bị disable/not configured</t>
  </si>
  <si>
    <t>Nội dung dịch</t>
  </si>
  <si>
    <t>Text hợp lệ</t>
  </si>
  <si>
    <t>Payload field sai</t>
  </si>
  <si>
    <t>Text có số/ký hiệu/xuống dòng</t>
  </si>
  <si>
    <t>Text rỗng nếu field không cho phép</t>
  </si>
  <si>
    <t>AIT-001</t>
  </si>
  <si>
    <t>AIT-002</t>
  </si>
  <si>
    <t>AIT-003</t>
  </si>
  <si>
    <t>AIT-004</t>
  </si>
  <si>
    <t>AIT-005</t>
  </si>
  <si>
    <t>AIT-006</t>
  </si>
  <si>
    <t>AIT-007</t>
  </si>
  <si>
    <t>AIT-008</t>
  </si>
  <si>
    <t>AIT-009</t>
  </si>
  <si>
    <t>AIT-010</t>
  </si>
  <si>
    <t>AIT-011</t>
  </si>
  <si>
    <t>AIT-012</t>
  </si>
  <si>
    <t>AI Translation available</t>
  </si>
  <si>
    <t>Dịch một field vi→en</t>
  </si>
  <si>
    <t>Dịch nhiều field</t>
  </si>
  <si>
    <t>Giữ số/ký hiệu/xuống dòng</t>
  </si>
  <si>
    <t>Fields rỗng</t>
  </si>
  <si>
    <t>Source language rỗng</t>
  </si>
  <si>
    <t>Target language rỗng</t>
  </si>
  <si>
    <t>Không thuộc plan</t>
  </si>
  <si>
    <t>AI chưa enabled</t>
  </si>
  <si>
    <t>Instance chưa cấu hình</t>
  </si>
  <si>
    <t>Read-only không dịch</t>
  </si>
  <si>
    <t>Refresh giữ source và target</t>
  </si>
  <si>
    <t>AI đủ config</t>
  </si>
  <si>
    <t>readWrite; AI available</t>
  </si>
  <si>
    <t>Action test</t>
  </si>
  <si>
    <t>Enabled=false</t>
  </si>
  <si>
    <t>Configured=false</t>
  </si>
  <si>
    <t>Đã dịch thành công</t>
  </si>
  <si>
    <t>source=vi</t>
  </si>
  <si>
    <t>title+question+option</t>
  </si>
  <si>
    <t>Dòng 1\nDòng 2 - 20%</t>
  </si>
  <si>
    <t>fields=[]</t>
  </si>
  <si>
    <t>sourceLanguage=''</t>
  </si>
  <si>
    <t>Translate fields</t>
  </si>
  <si>
    <t>Manage translations</t>
  </si>
  <si>
    <t>target=en</t>
  </si>
  <si>
    <t>target=ja</t>
  </si>
  <si>
    <t>target=''</t>
  </si>
  <si>
    <t>target=es</t>
  </si>
  <si>
    <t>Chọn field</t>
  </si>
  <si>
    <t>Chọn nhiều field</t>
  </si>
  <si>
    <t>Translate</t>
  </si>
  <si>
    <t>Gửi action</t>
  </si>
  <si>
    <t>Mở translations</t>
  </si>
  <si>
    <t>Save</t>
  </si>
  <si>
    <t>Input 1: Survey hợp lệ | Input 2: Manage translations</t>
  </si>
  <si>
    <t>AI translation khả dụng.</t>
  </si>
  <si>
    <t>Chọn ngôn ngữ</t>
  </si>
  <si>
    <t>So source/target</t>
  </si>
  <si>
    <t>Input 1: source=vi | Input 2: target=en</t>
  </si>
  <si>
    <t>Bản dịch được trả đúng field; source không đổi.</t>
  </si>
  <si>
    <t>Kiểm tra AI action</t>
  </si>
  <si>
    <t>Đếm result</t>
  </si>
  <si>
    <t>Kiểm tra 20%</t>
  </si>
  <si>
    <t>Thử AI action</t>
  </si>
  <si>
    <t>Thử Translate</t>
  </si>
  <si>
    <t>Chuyển locale</t>
  </si>
  <si>
    <t>Input 1: title+question+option | Input 2: target=ja</t>
  </si>
  <si>
    <t>Số bản dịch khớp field, không lệch thứ tự.</t>
  </si>
  <si>
    <t>Mở từng field</t>
  </si>
  <si>
    <t>Kiểm tra line breaks</t>
  </si>
  <si>
    <t>So nội dung</t>
  </si>
  <si>
    <t>Input 1: Dòng 1\nDòng 2 - 20% | Input 2: target=en</t>
  </si>
  <si>
    <t>Giữ dữ liệu số/ký hiệu quan trọng và cấu trúc hợp lý.</t>
  </si>
  <si>
    <t>Schema chặn.</t>
  </si>
  <si>
    <t>Thông báo không thuộc plan.</t>
  </si>
  <si>
    <t>Thông báo AI chưa bật.</t>
  </si>
  <si>
    <t>Thông báo cấu hình instance.</t>
  </si>
  <si>
    <t>Backend/UI chặn vì cần readWrite.</t>
  </si>
  <si>
    <t>Source nguyên; target đúng locale vẫn tồn tại.</t>
  </si>
  <si>
    <t>Input 1: fields=[] | Input 2: target=en</t>
  </si>
  <si>
    <t>fields min(1)</t>
  </si>
  <si>
    <t>sourceLanguage min(1)</t>
  </si>
  <si>
    <t>targetLanguage min(1)</t>
  </si>
  <si>
    <t>Input 1: sourceLanguage='' | Input 2: target=en</t>
  </si>
  <si>
    <t>available=true</t>
  </si>
  <si>
    <t>Target lưu đúng</t>
  </si>
  <si>
    <t>Không mất field</t>
  </si>
  <si>
    <t>20% không đổi</t>
  </si>
  <si>
    <t>Không translation rỗng</t>
  </si>
  <si>
    <t>Không provider</t>
  </si>
  <si>
    <t>Không translate</t>
  </si>
  <si>
    <t>Không sửa target</t>
  </si>
  <si>
    <t>Không ghi đè source</t>
  </si>
  <si>
    <t>Input 1: source=vi | Input 2: target=''</t>
  </si>
  <si>
    <t>Input 1: Translate fields | Input 2: -</t>
  </si>
  <si>
    <t>Input 1: source=vi | Input 2: target=es</t>
  </si>
  <si>
    <t>Partial | https://github.com/Royal2005-coder/formailab/tree/ef92d78aa86916e6fbf4bc8a43044a4a4328154d/apps/web/modules/ee/unify-feedback/components/feedback-record-form-drawer.tsx</t>
  </si>
  <si>
    <t>Loại feedback</t>
  </si>
  <si>
    <t>value_text</t>
  </si>
  <si>
    <t>number/boolean không áp sentiment text</t>
  </si>
  <si>
    <t>Text rỗng → Not enriched</t>
  </si>
  <si>
    <t>Giá trị null/absent</t>
  </si>
  <si>
    <t>Trạng thái enrichment</t>
  </si>
  <si>
    <t>Có sentiment/emotions</t>
  </si>
  <si>
    <t>Cấu trúc enrichment sai</t>
  </si>
  <si>
    <t>sentiment=null → Not enriched</t>
  </si>
  <si>
    <t>Kiểu dữ liệu không hỗ trợ</t>
  </si>
  <si>
    <t>Sentiment score</t>
  </si>
  <si>
    <t>Numeric score</t>
  </si>
  <si>
    <t>Sai kiểu</t>
  </si>
  <si>
    <t>Giá trị được format 2 chữ số thập phân</t>
  </si>
  <si>
    <t>NaN/null → không hiển thị score số</t>
  </si>
  <si>
    <t>Emotions</t>
  </si>
  <si>
    <t>Array hoặc string được UI hỗ trợ</t>
  </si>
  <si>
    <t>Object/kiểu không hỗ trợ</t>
  </si>
  <si>
    <t>Mảng 1 phần tử</t>
  </si>
  <si>
    <t>Mảng rỗng/null</t>
  </si>
  <si>
    <t>Quyền chỉnh sửa</t>
  </si>
  <si>
    <t>AI enrichment chỉ đọc</t>
  </si>
  <si>
    <t>Cố chỉnh tay</t>
  </si>
  <si>
    <t>canWrite nhưng enrichment vẫn read-only</t>
  </si>
  <si>
    <t>Mutation trái contract</t>
  </si>
  <si>
    <t>SEN-001</t>
  </si>
  <si>
    <t>SEN-002</t>
  </si>
  <si>
    <t>SEN-003</t>
  </si>
  <si>
    <t>SEN-004</t>
  </si>
  <si>
    <t>SEN-005</t>
  </si>
  <si>
    <t>SEN-006</t>
  </si>
  <si>
    <t>SEN-007</t>
  </si>
  <si>
    <t>SEN-008</t>
  </si>
  <si>
    <t>SEN-009</t>
  </si>
  <si>
    <t>SEN-010</t>
  </si>
  <si>
    <t>SEN-011</t>
  </si>
  <si>
    <t>SEN-012</t>
  </si>
  <si>
    <t>Sentiment tích cực</t>
  </si>
  <si>
    <t>Sentiment tiêu cực</t>
  </si>
  <si>
    <t>Sentiment neutral</t>
  </si>
  <si>
    <t>Emotions dạng array</t>
  </si>
  <si>
    <t>Chưa enrichment</t>
  </si>
  <si>
    <t>Non-text record</t>
  </si>
  <si>
    <t>Format sentiment score</t>
  </si>
  <si>
    <t>Translation và sentiment cùng tồn tại</t>
  </si>
  <si>
    <t>Enrichment read-only</t>
  </si>
  <si>
    <t>Emotions dạng string</t>
  </si>
  <si>
    <t>Open text rỗng</t>
  </si>
  <si>
    <t>Refresh sau khi pipeline hoàn tất</t>
  </si>
  <si>
    <t>Record enriched</t>
  </si>
  <si>
    <t>Record có emotions</t>
  </si>
  <si>
    <t>sentiment/emotions null</t>
  </si>
  <si>
    <t>Field type number/boolean</t>
  </si>
  <si>
    <t>Score=0.87654</t>
  </si>
  <si>
    <t>Record có translation+sentiment</t>
  </si>
  <si>
    <t>Fixture string</t>
  </si>
  <si>
    <t>Record text rỗng</t>
  </si>
  <si>
    <t>Có job enrichment</t>
  </si>
  <si>
    <t>Text tích cực</t>
  </si>
  <si>
    <t>Text tiêu cực</t>
  </si>
  <si>
    <t>Text trung tính</t>
  </si>
  <si>
    <t>joy, trust</t>
  </si>
  <si>
    <t>Not enriched</t>
  </si>
  <si>
    <t>value=5</t>
  </si>
  <si>
    <t>0.87654</t>
  </si>
  <si>
    <t>Edit sentiment</t>
  </si>
  <si>
    <t>joy,trust</t>
  </si>
  <si>
    <t>''</t>
  </si>
  <si>
    <t>Before=null</t>
  </si>
  <si>
    <t>sentiment+score</t>
  </si>
  <si>
    <t>negative</t>
  </si>
  <si>
    <t>neutral</t>
  </si>
  <si>
    <t>array</t>
  </si>
  <si>
    <t>positive</t>
  </si>
  <si>
    <t>string</t>
  </si>
  <si>
    <t>No enrichment</t>
  </si>
  <si>
    <t>After=fixture</t>
  </si>
  <si>
    <t>Mở Feedback Record</t>
  </si>
  <si>
    <t>Mở record</t>
  </si>
  <si>
    <t>Mở record trước</t>
  </si>
  <si>
    <t>Input 1: Text tích cực | Input 2: sentiment+score</t>
  </si>
  <si>
    <t>Hiển thị positive và score đúng fixture.</t>
  </si>
  <si>
    <t>Đọc sentiment</t>
  </si>
  <si>
    <t>Đọc label</t>
  </si>
  <si>
    <t>Đọc emotions</t>
  </si>
  <si>
    <t>Quan sát khối AI</t>
  </si>
  <si>
    <t>Quan sát AI block</t>
  </si>
  <si>
    <t>Đọc score</t>
  </si>
  <si>
    <t>Đọc translated text</t>
  </si>
  <si>
    <t>Tìm input edit</t>
  </si>
  <si>
    <t>Chờ pipeline fixture</t>
  </si>
  <si>
    <t>Input 1: Text tiêu cực | Input 2: negative</t>
  </si>
  <si>
    <t>Hiển thị negative đúng.</t>
  </si>
  <si>
    <t>Đổi locale nếu cần</t>
  </si>
  <si>
    <t>Đọc AI enrichment</t>
  </si>
  <si>
    <t>Thử thao tác</t>
  </si>
  <si>
    <t>Refresh/reopen</t>
  </si>
  <si>
    <t>Input 1: Text trung tính | Input 2: neutral</t>
  </si>
  <si>
    <t>Hiển thị neutral bằng label phù hợp.</t>
  </si>
  <si>
    <t>Đọc AI block</t>
  </si>
  <si>
    <t>Input 1: joy, trust | Input 2: array</t>
  </si>
  <si>
    <t>Danh sách emotion hiển thị đầy đủ.</t>
  </si>
  <si>
    <t>Hiển thị chưa enrichment; không tạo kết quả giả.</t>
  </si>
  <si>
    <t>Không áp sentiment text sai loại.</t>
  </si>
  <si>
    <t>Hiển thị 0.88.</t>
  </si>
  <si>
    <t>Hai khối riêng; source không bị ghi đè.</t>
  </si>
  <si>
    <t>Không có control sửa tay sentiment/emotions.</t>
  </si>
  <si>
    <t>Render an toàn.</t>
  </si>
  <si>
    <t>Không suy diễn sentiment giả.</t>
  </si>
  <si>
    <t>Dữ liệu enrichment mới xuất hiện.</t>
  </si>
  <si>
    <t>Input 1: Not enriched | Input 2: -</t>
  </si>
  <si>
    <t>Input 1: value=5 | Input 2: -</t>
  </si>
  <si>
    <t>Score 2 số lẻ</t>
  </si>
  <si>
    <t>Không nhầm positive</t>
  </si>
  <si>
    <t>Map locale đúng</t>
  </si>
  <si>
    <t>Không [object Object]</t>
  </si>
  <si>
    <t>Không hiển thị 0 giả</t>
  </si>
  <si>
    <t>Không enrichment block nếu contract không áp dụng</t>
  </si>
  <si>
    <t>toFixed(2)</t>
  </si>
  <si>
    <t>Không trộn field</t>
  </si>
  <si>
    <t>Không mutate enrichment</t>
  </si>
  <si>
    <t>Absent/not enriched</t>
  </si>
  <si>
    <t>Không cache state cũ</t>
  </si>
  <si>
    <t>Input 1: 0.87654 | Input 2: -</t>
  </si>
  <si>
    <t>Input 1: target=en | Input 2: positive</t>
  </si>
  <si>
    <t>Input 1: Edit sentiment | Input 2: -</t>
  </si>
  <si>
    <t>Input 1: joy,trust | Input 2: string</t>
  </si>
  <si>
    <t>Input 1: '' | Input 2: No enrichment</t>
  </si>
  <si>
    <t>Input 1: Before=null | Input 2: After=fixture</t>
  </si>
  <si>
    <t>Verified | https://github.com/Royal2005-coder/formailab/tree/ef92d78aa86916e6fbf4bc8a43044a4a4328154d/apps/web/modules/ee/unify-feedback/topics-subtopics/components/topics-subtopics-container.tsx</t>
  </si>
  <si>
    <t>Số open-text records</t>
  </si>
  <si>
    <t>≥750</t>
  </si>
  <si>
    <t>&lt;750 đối với điều kiện generate</t>
  </si>
  <si>
    <t>750</t>
  </si>
  <si>
    <t>749</t>
  </si>
  <si>
    <t>Pending embeddings</t>
  </si>
  <si>
    <t>0–50</t>
  </si>
  <si>
    <t>&gt;50</t>
  </si>
  <si>
    <t>50</t>
  </si>
  <si>
    <t>51</t>
  </si>
  <si>
    <t>Quyền taxonomy</t>
  </si>
  <si>
    <t>canWrite=true</t>
  </si>
  <si>
    <t>canWrite=false</t>
  </si>
  <si>
    <t>read-only vẫn xem được</t>
  </si>
  <si>
    <t>read-only cố generate/rename/remove</t>
  </si>
  <si>
    <t>Trạng thái run</t>
  </si>
  <si>
    <t>succeeded / pending / running</t>
  </si>
  <si>
    <t>failed / service unavailable</t>
  </si>
  <si>
    <t>Terminal succeeded</t>
  </si>
  <si>
    <t>Poll lỗi tạm thời</t>
  </si>
  <si>
    <t>Node tree</t>
  </si>
  <si>
    <t>Node tồn tại</t>
  </si>
  <si>
    <t>Node ID không tồn tại</t>
  </si>
  <si>
    <t>Node đang chọn vừa bị remove</t>
  </si>
  <si>
    <t>Selection cũ không còn sau regenerate</t>
  </si>
  <si>
    <t>TOP-001</t>
  </si>
  <si>
    <t>TOP-002</t>
  </si>
  <si>
    <t>TOP-003</t>
  </si>
  <si>
    <t>TOP-004</t>
  </si>
  <si>
    <t>TOP-005</t>
  </si>
  <si>
    <t>TOP-006</t>
  </si>
  <si>
    <t>TOP-007</t>
  </si>
  <si>
    <t>TOP-008</t>
  </si>
  <si>
    <t>TOP-009</t>
  </si>
  <si>
    <t>TOP-010</t>
  </si>
  <si>
    <t>TOP-011</t>
  </si>
  <si>
    <t>TOP-012</t>
  </si>
  <si>
    <t>TOP-013</t>
  </si>
  <si>
    <t>TOP-014</t>
  </si>
  <si>
    <t>TOP-015</t>
  </si>
  <si>
    <t>749 open-text records</t>
  </si>
  <si>
    <t>Đúng 750 records</t>
  </si>
  <si>
    <t>Pending embeddings=51</t>
  </si>
  <si>
    <t>Pending embeddings=50</t>
  </si>
  <si>
    <t>Generate taxonomy</t>
  </si>
  <si>
    <t>Mặc định chọn top-level đầu</t>
  </si>
  <si>
    <t>Chọn node xem records</t>
  </si>
  <si>
    <t>Rename node</t>
  </si>
  <si>
    <t>Remove node có confirm</t>
  </si>
  <si>
    <t>Cancel remove</t>
  </si>
  <si>
    <t>Read-only</t>
  </si>
  <si>
    <t>Service unavailable</t>
  </si>
  <si>
    <t>Run generation failed</t>
  </si>
  <si>
    <t>Polling lỗi tạm thời</t>
  </si>
  <si>
    <t>Regenerate thay tree</t>
  </si>
  <si>
    <t>Directory fixture</t>
  </si>
  <si>
    <t>Có &gt;=750</t>
  </si>
  <si>
    <t>Gate pass; canWrite</t>
  </si>
  <si>
    <t>Có active tree</t>
  </si>
  <si>
    <t>Tree có records</t>
  </si>
  <si>
    <t>canWrite</t>
  </si>
  <si>
    <t>Modal đang mở</t>
  </si>
  <si>
    <t>Mock Hub unavailable</t>
  </si>
  <si>
    <t>Mock failed run</t>
  </si>
  <si>
    <t>Run pending/running</t>
  </si>
  <si>
    <t>749 records</t>
  </si>
  <si>
    <t>750 records</t>
  </si>
  <si>
    <t>51 pending</t>
  </si>
  <si>
    <t>50 pending</t>
  </si>
  <si>
    <t>Generate</t>
  </si>
  <si>
    <t>First top-level</t>
  </si>
  <si>
    <t>Topic A</t>
  </si>
  <si>
    <t>Node cần xóa</t>
  </si>
  <si>
    <t>Generate/Rename/Remove</t>
  </si>
  <si>
    <t>Service down</t>
  </si>
  <si>
    <t>generation_failed</t>
  </si>
  <si>
    <t>Poll error</t>
  </si>
  <si>
    <t>Regenerate</t>
  </si>
  <si>
    <t>749 embedded</t>
  </si>
  <si>
    <t>750 embedded</t>
  </si>
  <si>
    <t>Directory</t>
  </si>
  <si>
    <t>Node A</t>
  </si>
  <si>
    <t>Node cũ mất</t>
  </si>
  <si>
    <t>Mở Topics/Subtopics</t>
  </si>
  <si>
    <t>Mở page</t>
  </si>
  <si>
    <t>Bấm Generate</t>
  </si>
  <si>
    <t>Click Topic A</t>
  </si>
  <si>
    <t>Mở edit</t>
  </si>
  <si>
    <t>Trigger run</t>
  </si>
  <si>
    <t>Chọn node cũ</t>
  </si>
  <si>
    <t>Input 1: 749 records | Input 2: 749 embedded</t>
  </si>
  <si>
    <t>Hiển thị insufficient gate; chưa generate.</t>
  </si>
  <si>
    <t>Chờ field count</t>
  </si>
  <si>
    <t>Chờ count</t>
  </si>
  <si>
    <t>Quan sát gate</t>
  </si>
  <si>
    <t>Quan sát progress</t>
  </si>
  <si>
    <t>Theo dõi toast</t>
  </si>
  <si>
    <t>Chờ tree</t>
  </si>
  <si>
    <t>Chờ records</t>
  </si>
  <si>
    <t>Rename</t>
  </si>
  <si>
    <t>Đọc modal</t>
  </si>
  <si>
    <t>Mở taxonomy</t>
  </si>
  <si>
    <t>Chờ failed</t>
  </si>
  <si>
    <t>Mô phỏng poll lỗi</t>
  </si>
  <si>
    <t>Input 1: 750 records | Input 2: 750 embedded</t>
  </si>
  <si>
    <t>Qua insufficient gate.</t>
  </si>
  <si>
    <t>Quan sát control</t>
  </si>
  <si>
    <t>Kiểm tra Generate</t>
  </si>
  <si>
    <t>Chờ terminal status</t>
  </si>
  <si>
    <t>Quan sát selection</t>
  </si>
  <si>
    <t>Đếm/so fixture</t>
  </si>
  <si>
    <t>Tìm controls</t>
  </si>
  <si>
    <t>Bấm Retry</t>
  </si>
  <si>
    <t>Đọc thông báo</t>
  </si>
  <si>
    <t>Quan sát warning</t>
  </si>
  <si>
    <t>Chờ success</t>
  </si>
  <si>
    <t>Input 1: 51 pending | Input 2: -</t>
  </si>
  <si>
    <t>Hard embedding gate.</t>
  </si>
  <si>
    <t>Quan sát tree</t>
  </si>
  <si>
    <t>Chọn Topic B</t>
  </si>
  <si>
    <t>Quan sát counts</t>
  </si>
  <si>
    <t>Kiểm tra tree</t>
  </si>
  <si>
    <t>Quan sát Generate</t>
  </si>
  <si>
    <t>Input 1: 50 pending | Input 2: -</t>
  </si>
  <si>
    <t>Không hard-gate; inline progress.</t>
  </si>
  <si>
    <t>Run success và tree xuất hiện.</t>
  </si>
  <si>
    <t>Topic cấp 1 đầu được chọn nếu chưa có selection hợp lệ.</t>
  </si>
  <si>
    <t>Panel records đúng node.</t>
  </si>
  <si>
    <t>Tên mới được lưu.</t>
  </si>
  <si>
    <t>Node bị xóa và count liên quan refetch.</t>
  </si>
  <si>
    <t>Node vẫn tồn tại.</t>
  </si>
  <si>
    <t>Xem được nếu có quyền read; write bị chặn.</t>
  </si>
  <si>
    <t>Alert rõ ràng; generate disabled khi service unreachable.</t>
  </si>
  <si>
    <t>Thông báo localized; có retry khi service còn hoạt động.</t>
  </si>
  <si>
    <t>Hiển thị warning + retry, không kết luận failure ngay.</t>
  </si>
  <si>
    <t>Nếu node cũ không còn, chọn top-level đầu của tree mới.</t>
  </si>
  <si>
    <t>Input 1: Generate | Input 2: Directory</t>
  </si>
  <si>
    <t>Input 1: First top-level | Input 2: -</t>
  </si>
  <si>
    <t>MIN=750</t>
  </si>
  <si>
    <t>Boundary 750</t>
  </si>
  <si>
    <t>Threshold &gt;50</t>
  </si>
  <si>
    <t>Boundary 50</t>
  </si>
  <si>
    <t>status=succeeded</t>
  </si>
  <si>
    <t>Records panel đồng bộ</t>
  </si>
  <si>
    <t>Không lẫn node</t>
  </si>
  <si>
    <t>ID không đổi ngoài thiết kế</t>
  </si>
  <si>
    <t>Selection reset nếu node đang chọn</t>
  </si>
  <si>
    <t>Không dump raw detail</t>
  </si>
  <si>
    <t>Không che tree cũ nếu regenerate fail</t>
  </si>
  <si>
    <t>Có thể tự hồi phục</t>
  </si>
  <si>
    <t>Không selectedNode invalid</t>
  </si>
  <si>
    <t>Input 1: Topic A | Input 2: -</t>
  </si>
  <si>
    <t>Input 1: Tên mới | Input 2: Topic A</t>
  </si>
  <si>
    <t>Input 1: Node cần xóa | Input 2: Confirm</t>
  </si>
  <si>
    <t>Input 1: Cancel | Input 2: Node A</t>
  </si>
  <si>
    <t>Input 1: Generate/Rename/Remove | Input 2: -</t>
  </si>
  <si>
    <t>Input 1: Service down | Input 2: Retry</t>
  </si>
  <si>
    <t>Input 1: generation_failed | Input 2: -</t>
  </si>
  <si>
    <t>Input 1: Poll error | Input 2: Retry</t>
  </si>
  <si>
    <t>Input 1: Regenerate | Input 2: Node cũ mất</t>
  </si>
  <si>
    <t>GAP | GAP: chưa xác minh implementation cụ thể trong snapshot</t>
  </si>
  <si>
    <t>Dữ liệu survey</t>
  </si>
  <si>
    <t>&gt;0 response</t>
  </si>
  <si>
    <t>Không có quyền / dữ liệu không tồn tại</t>
  </si>
  <si>
    <t>0 response → báo chưa có dữ liệu</t>
  </si>
  <si>
    <t>Cross-workspace / survey không quyền</t>
  </si>
  <si>
    <t>Prompt</t>
  </si>
  <si>
    <t>Câu hỏi bám dữ liệu survey</t>
  </si>
  <si>
    <t>Câu hỏi ngoài phạm vi dữ liệu</t>
  </si>
  <si>
    <t>Prompt tối thiểu hợp lệ theo UI</t>
  </si>
  <si>
    <t>Prompt rỗng/không hợp lệ</t>
  </si>
  <si>
    <t>Groundedness</t>
  </si>
  <si>
    <t>Fact khớp dữ liệu nguồn</t>
  </si>
  <si>
    <t>Bịa số liệu/chủ đề</t>
  </si>
  <si>
    <t>Thiếu dữ liệu → trả lời 'không đủ dữ liệu'</t>
  </si>
  <si>
    <t>Khẳng định fact khi không có nguồn</t>
  </si>
  <si>
    <t>Provider AI</t>
  </si>
  <si>
    <t>Available</t>
  </si>
  <si>
    <t>Timeout/500/unavailable</t>
  </si>
  <si>
    <t>Ngay trước timeout vẫn nhận response</t>
  </si>
  <si>
    <t>Request thất bại</t>
  </si>
  <si>
    <t>Feature availability</t>
  </si>
  <si>
    <t>Build có AI Result Chat</t>
  </si>
  <si>
    <t>Build chưa có feature</t>
  </si>
  <si>
    <t>Entry point tồn tại nhưng survey 0 response</t>
  </si>
  <si>
    <t>Không có entry point → Blocked</t>
  </si>
  <si>
    <t>CHAT-001</t>
  </si>
  <si>
    <t>CHAT-002</t>
  </si>
  <si>
    <t>CHAT-003</t>
  </si>
  <si>
    <t>CHAT-004</t>
  </si>
  <si>
    <t>CHAT-005</t>
  </si>
  <si>
    <t>CHAT-006</t>
  </si>
  <si>
    <t>CHAT-007</t>
  </si>
  <si>
    <t>CHAT-008</t>
  </si>
  <si>
    <t>CHAT-009</t>
  </si>
  <si>
    <t>CHAT-010</t>
  </si>
  <si>
    <t>Mở AI Chat trong đúng survey</t>
  </si>
  <si>
    <t>Hỏi tổng số phản hồi</t>
  </si>
  <si>
    <t>Tóm tắt open-text</t>
  </si>
  <si>
    <t>Hỏi sentiment</t>
  </si>
  <si>
    <t>Follow-up theo context</t>
  </si>
  <si>
    <t>Câu hỏi ngoài dữ liệu</t>
  </si>
  <si>
    <t>Survey 0 response</t>
  </si>
  <si>
    <t>User không có quyền</t>
  </si>
  <si>
    <t>Không khẳng định fact không tồn tại</t>
  </si>
  <si>
    <t>Feature được triển khai</t>
  </si>
  <si>
    <t>Chat có context</t>
  </si>
  <si>
    <t>Có fixture text</t>
  </si>
  <si>
    <t>Có enrichment</t>
  </si>
  <si>
    <t>Đã có Q1</t>
  </si>
  <si>
    <t>Chat hoạt động</t>
  </si>
  <si>
    <t>response=0</t>
  </si>
  <si>
    <t>Không có access</t>
  </si>
  <si>
    <t>Mock provider lỗi</t>
  </si>
  <si>
    <t>Fixture known facts</t>
  </si>
  <si>
    <t>Survey Results</t>
  </si>
  <si>
    <t>Có bao nhiêu phản hồi?</t>
  </si>
  <si>
    <t>Tóm tắt 3 vấn đề chính</t>
  </si>
  <si>
    <t>Tỷ lệ phản hồi tiêu cực?</t>
  </si>
  <si>
    <t>Còn nhóm thấp nhất?</t>
  </si>
  <si>
    <t>Dự đoán doanh thu năm sau?</t>
  </si>
  <si>
    <t>Tóm tắt kết quả</t>
  </si>
  <si>
    <t>Survey khác workspace</t>
  </si>
  <si>
    <t>3 câu hỏi kiểm chứng</t>
  </si>
  <si>
    <t>AI Chat</t>
  </si>
  <si>
    <t>Ground truth=N</t>
  </si>
  <si>
    <t>3 topic biết trước</t>
  </si>
  <si>
    <t>Fixture sentiment</t>
  </si>
  <si>
    <t>Q1 trước đó</t>
  </si>
  <si>
    <t>Survey không có revenue</t>
  </si>
  <si>
    <t>Chat action</t>
  </si>
  <si>
    <t>Ground truth</t>
  </si>
  <si>
    <t>Mở Results</t>
  </si>
  <si>
    <t>Gửi prompt</t>
  </si>
  <si>
    <t>Gửi Q1</t>
  </si>
  <si>
    <t>Mở chat</t>
  </si>
  <si>
    <t>Đăng nhập user khác</t>
  </si>
  <si>
    <t>Gửi lần lượt</t>
  </si>
  <si>
    <t>Input 1: Survey Results | Input 2: AI Chat</t>
  </si>
  <si>
    <t>Chat dùng đúng survey hiện tại.</t>
  </si>
  <si>
    <t>Mở AI Chat</t>
  </si>
  <si>
    <t>Chờ trả lời</t>
  </si>
  <si>
    <t>Đọc summary</t>
  </si>
  <si>
    <t>So dữ liệu</t>
  </si>
  <si>
    <t>Gửi follow-up</t>
  </si>
  <si>
    <t>Đọc trả lời</t>
  </si>
  <si>
    <t>Mở URL/action</t>
  </si>
  <si>
    <t>So từng fact</t>
  </si>
  <si>
    <t>Input 1: Có bao nhiêu phản hồi? | Input 2: Ground truth=N</t>
  </si>
  <si>
    <t>Trả N đúng ground truth.</t>
  </si>
  <si>
    <t>So dashboard</t>
  </si>
  <si>
    <t>So sample records</t>
  </si>
  <si>
    <t>Kiểm tra thiếu field</t>
  </si>
  <si>
    <t>Đọc câu trả lời</t>
  </si>
  <si>
    <t>Gửi prompt nếu UI lọt</t>
  </si>
  <si>
    <t>Đánh dấu mismatch</t>
  </si>
  <si>
    <t>Input 1: Tóm tắt 3 vấn đề chính | Input 2: 3 topic biết trước</t>
  </si>
  <si>
    <t>Summary bám dữ liệu, không thêm topic giả.</t>
  </si>
  <si>
    <t>Kiểm tra history</t>
  </si>
  <si>
    <t>Input 1: Tỷ lệ phản hồi tiêu cực? | Input 2: Fixture sentiment</t>
  </si>
  <si>
    <t>Kết quả nhất quán với sentiment data.</t>
  </si>
  <si>
    <t>Hiểu hội thoại nhưng không đổi survey context.</t>
  </si>
  <si>
    <t>Nói không đủ dữ liệu/giới hạn; không bịa.</t>
  </si>
  <si>
    <t>Thông báo chưa có dữ liệu.</t>
  </si>
  <si>
    <t>Bị chặn trước khi dữ liệu gửi AI.</t>
  </si>
  <si>
    <t>Lỗi thân thiện; retry được; không duplicate message.</t>
  </si>
  <si>
    <t>Fact quan trọng khớp nguồn; thiếu thì nói thiếu.</t>
  </si>
  <si>
    <t>Input 1: Còn nhóm thấp nhất? | Input 2: Q1 trước đó</t>
  </si>
  <si>
    <t>Nếu chưa có UI: Blocked</t>
  </si>
  <si>
    <t>Không đủ dữ liệu</t>
  </si>
  <si>
    <t>AI unavailable</t>
  </si>
  <si>
    <t>Input 1: Dự đoán doanh thu năm sau? | Input 2: Survey không có revenue</t>
  </si>
  <si>
    <t>Không dùng dữ liệu survey khác</t>
  </si>
  <si>
    <t>Không bịa số</t>
  </si>
  <si>
    <t>Không tự suy diễn field thiếu</t>
  </si>
  <si>
    <t>Không mất context</t>
  </si>
  <si>
    <t>Có hướng dẫn câu hỏi phù hợp</t>
  </si>
  <si>
    <t>Không summary giả</t>
  </si>
  <si>
    <t>Không data leak</t>
  </si>
  <si>
    <t>History ổn định</t>
  </si>
  <si>
    <t>Manual groundedness check</t>
  </si>
  <si>
    <t>Input 1: Tóm tắt kết quả | Input 2: -</t>
  </si>
  <si>
    <t>Input 1: Survey khác workspace | Input 2: Chat action</t>
  </si>
  <si>
    <t>Input 1: Valid prompt | Input 2: timeout/500</t>
  </si>
  <si>
    <t>Input 1: 3 câu hỏi kiểm chứng | Input 2: Ground truth</t>
  </si>
  <si>
    <t>Verified | https://github.com/Royal2005-coder/formailab/tree/ef92d78aa86916e6fbf4bc8a43044a4a4328154d/apps/web/modules/integrations</t>
  </si>
  <si>
    <t>Webhook URL</t>
  </si>
  <si>
    <t>HTTPS URL hợp lệ</t>
  </si>
  <si>
    <t>URL sai / thiếu scheme</t>
  </si>
  <si>
    <t>URL tối thiểu hợp lệ</t>
  </si>
  <si>
    <t>URL malformed</t>
  </si>
  <si>
    <t>Webhook response</t>
  </si>
  <si>
    <t>2xx</t>
  </si>
  <si>
    <t>4xx/5xx</t>
  </si>
  <si>
    <t>200</t>
  </si>
  <si>
    <t>500</t>
  </si>
  <si>
    <t>OAuth state</t>
  </si>
  <si>
    <t>State/callback hợp lệ</t>
  </si>
  <si>
    <t>State sai/hết hạn</t>
  </si>
  <si>
    <t>Callback đúng một lần</t>
  </si>
  <si>
    <t>Replay/callback state sai</t>
  </si>
  <si>
    <t>Quyền cấu hình</t>
  </si>
  <si>
    <t>readWrite/admin</t>
  </si>
  <si>
    <t>Quyền vừa đủ</t>
  </si>
  <si>
    <t>Secret/token</t>
  </si>
  <si>
    <t>Lưu và che/mask đúng</t>
  </si>
  <si>
    <t>Lộ secret hoặc token sai</t>
  </si>
  <si>
    <t>Hiển thị masked</t>
  </si>
  <si>
    <t>Hiển thị full secret</t>
  </si>
  <si>
    <t>INTG-002</t>
  </si>
  <si>
    <t>INTG-003</t>
  </si>
  <si>
    <t>INTG-004</t>
  </si>
  <si>
    <t>INTG-005</t>
  </si>
  <si>
    <t>INTG-006</t>
  </si>
  <si>
    <t>INTG-007</t>
  </si>
  <si>
    <t>INTG-008</t>
  </si>
  <si>
    <t>INTG-009</t>
  </si>
  <si>
    <t>INTG-010</t>
  </si>
  <si>
    <t>INTG-011</t>
  </si>
  <si>
    <t>INTG-012</t>
  </si>
  <si>
    <t>Tạo webhook</t>
  </si>
  <si>
    <t>Webhook nhận event response</t>
  </si>
  <si>
    <t>Webhook endpoint 500</t>
  </si>
  <si>
    <t>Webhook URL không hợp lệ</t>
  </si>
  <si>
    <t>Xóa webhook</t>
  </si>
  <si>
    <t>Kết nối OAuth dịch vụ ngoài</t>
  </si>
  <si>
    <t>OAuth user từ chối consent</t>
  </si>
  <si>
    <t>OAuth callback/state sai</t>
  </si>
  <si>
    <t>Thu hồi/disconnect integration</t>
  </si>
  <si>
    <t>Read-only không cấu hình integration</t>
  </si>
  <si>
    <t>Hai workspace có integration riêng</t>
  </si>
  <si>
    <t>Secret/credential không hiển thị lộ</t>
  </si>
  <si>
    <t>Có quyền</t>
  </si>
  <si>
    <t>Webhook active</t>
  </si>
  <si>
    <t>Endpoint mock 500</t>
  </si>
  <si>
    <t>Webhook tồn tại</t>
  </si>
  <si>
    <t>Sandbox account</t>
  </si>
  <si>
    <t>Provider sandbox</t>
  </si>
  <si>
    <t>Test callback lỗi</t>
  </si>
  <si>
    <t>Đã connected</t>
  </si>
  <si>
    <t>A/B</t>
  </si>
  <si>
    <t>Đã cấu hình secret</t>
  </si>
  <si>
    <t>HTTPS endpoint test</t>
  </si>
  <si>
    <t>Submit response</t>
  </si>
  <si>
    <t>HTTP 500</t>
  </si>
  <si>
    <t>invalid URL</t>
  </si>
  <si>
    <t>Provider được hỗ trợ</t>
  </si>
  <si>
    <t>Cancel consent</t>
  </si>
  <si>
    <t>Invalid state</t>
  </si>
  <si>
    <t>Disconnect</t>
  </si>
  <si>
    <t>Create/Disconnect</t>
  </si>
  <si>
    <t>Integration A</t>
  </si>
  <si>
    <t>Webhook secret/OAuth token</t>
  </si>
  <si>
    <t>Event responseCreated</t>
  </si>
  <si>
    <t>Endpoint log</t>
  </si>
  <si>
    <t>Consent</t>
  </si>
  <si>
    <t>UI/log</t>
  </si>
  <si>
    <t>Mở Integrations</t>
  </si>
  <si>
    <t>Submit survey</t>
  </si>
  <si>
    <t>Trigger event</t>
  </si>
  <si>
    <t>Mở webhook</t>
  </si>
  <si>
    <t>Mở integration</t>
  </si>
  <si>
    <t>Connect</t>
  </si>
  <si>
    <t>Mô phỏng callback</t>
  </si>
  <si>
    <t>Connect ở A</t>
  </si>
  <si>
    <t>Input 1: HTTPS endpoint test | Input 2: Event responseCreated</t>
  </si>
  <si>
    <t>Webhook xuất hiện trong danh sách.</t>
  </si>
  <si>
    <t>Chờ webhook</t>
  </si>
  <si>
    <t>Quan sát retry/log</t>
  </si>
  <si>
    <t>Nhập URL sai</t>
  </si>
  <si>
    <t>Từ chối ở provider</t>
  </si>
  <si>
    <t>Mở URL</t>
  </si>
  <si>
    <t>Xem page</t>
  </si>
  <si>
    <t>Input 1: Submit response | Input 2: Endpoint log</t>
  </si>
  <si>
    <t>Endpoint nhận đúng event/payload.</t>
  </si>
  <si>
    <t>Chọn event</t>
  </si>
  <si>
    <t>Mở endpoint log</t>
  </si>
  <si>
    <t>Không sửa response</t>
  </si>
  <si>
    <t>Hoàn tất OAuth</t>
  </si>
  <si>
    <t>Tìm action</t>
  </si>
  <si>
    <t>Kiểm tra list</t>
  </si>
  <si>
    <t>Gây lỗi có log</t>
  </si>
  <si>
    <t>Input 1: HTTP 500 | Input 2: -</t>
  </si>
  <si>
    <t>Lỗi tích hợp không làm mất response chính; retry/log theo thiết kế.</t>
  </si>
  <si>
    <t>So payload</t>
  </si>
  <si>
    <t>Kiểm tra integration</t>
  </si>
  <si>
    <t>Thử sync</t>
  </si>
  <si>
    <t>Thử</t>
  </si>
  <si>
    <t>Trigger B</t>
  </si>
  <si>
    <t>Input 1: invalid URL | Input 2: -</t>
  </si>
  <si>
    <t>Không lưu webhook lỗi.</t>
  </si>
  <si>
    <t>Webhook bị xóa và không nhận event mới.</t>
  </si>
  <si>
    <t>Hiển thị Connected và dùng được.</t>
  </si>
  <si>
    <t>Không tạo kết nối nửa chừng; thông báo phù hợp.</t>
  </si>
  <si>
    <t>Bị chặn an toàn.</t>
  </si>
  <si>
    <t>Connection bị thu hồi; sync không tiếp tục như connected.</t>
  </si>
  <si>
    <t>Write control bị chặn.</t>
  </si>
  <si>
    <t>B không dùng nhầm integration A.</t>
  </si>
  <si>
    <t>UI/log không lộ token/secret đầy đủ.</t>
  </si>
  <si>
    <t>Input 1: Delete | Input 2: Confirm</t>
  </si>
  <si>
    <t>Endpoint failed</t>
  </si>
  <si>
    <t>URL không hợp lệ</t>
  </si>
  <si>
    <t>OAuth canceled</t>
  </si>
  <si>
    <t>OAuth/state error</t>
  </si>
  <si>
    <t>Input 1: Provider được hỗ trợ | Input 2: Consent</t>
  </si>
  <si>
    <t>ID/URL đúng</t>
  </si>
  <si>
    <t>Survey/response ID đúng</t>
  </si>
  <si>
    <t>Không crash app</t>
  </si>
  <si>
    <t>Không có record</t>
  </si>
  <si>
    <t>Không ảnh hưởng webhook khác</t>
  </si>
  <si>
    <t>Account mapping đúng</t>
  </si>
  <si>
    <t>Không credential rác</t>
  </si>
  <si>
    <t>Không liên kết account sai</t>
  </si>
  <si>
    <t>Token không còn dùng</t>
  </si>
  <si>
    <t>Không thay config</t>
  </si>
  <si>
    <t>Masked/redacted</t>
  </si>
  <si>
    <t>Input 1: Cancel consent | Input 2: -</t>
  </si>
  <si>
    <t>Input 1: Invalid state | Input 2: -</t>
  </si>
  <si>
    <t>Input 1: Disconnect | Input 2: -</t>
  </si>
  <si>
    <t>Input 1: Create/Disconnect | Input 2: -</t>
  </si>
  <si>
    <t>Input 1: Integration A | Input 2: Workspace B</t>
  </si>
  <si>
    <t>Input 1: Webhook secret/OAuth token | Input 2: UI/log</t>
  </si>
  <si>
    <t>Verified | https://github.com/Royal2005-coder/formailab/tree/ef92d78aa86916e6fbf4bc8a43044a4a4328154d/apps/web/app/api</t>
  </si>
  <si>
    <t>API key</t>
  </si>
  <si>
    <t>Key hợp lệ, còn hiệu lực</t>
  </si>
  <si>
    <t>Thiếu / sai / revoked</t>
  </si>
  <si>
    <t>Ngay trước khi key hết hiệu lực</t>
  </si>
  <si>
    <t>Key đã hết hiệu lực</t>
  </si>
  <si>
    <t>Payload request</t>
  </si>
  <si>
    <t>Đủ field bắt buộc</t>
  </si>
  <si>
    <t>Thiếu field / JSON malformed</t>
  </si>
  <si>
    <t>Payload tối thiểu hợp lệ</t>
  </si>
  <si>
    <t>Thiếu 1 field bắt buộc</t>
  </si>
  <si>
    <t>Pagination</t>
  </si>
  <si>
    <t>page/limit trong giới hạn API</t>
  </si>
  <si>
    <t>Giá trị âm/ngoài giới hạn</t>
  </si>
  <si>
    <t>limit tại min/max cấu hình</t>
  </si>
  <si>
    <t>limit ngoài biên 1 đơn vị</t>
  </si>
  <si>
    <t>Rate limit</t>
  </si>
  <si>
    <t>Số request dưới ngưỡng</t>
  </si>
  <si>
    <t>Vượt ngưỡng</t>
  </si>
  <si>
    <t>Đúng ngưỡng cấu hình</t>
  </si>
  <si>
    <t>Ngưỡng + 1 request</t>
  </si>
  <si>
    <t>Scope workspace</t>
  </si>
  <si>
    <t>Resource cùng scope key</t>
  </si>
  <si>
    <t>Resource tại ranh giới quyền được phép</t>
  </si>
  <si>
    <t>Resource ngoài scope</t>
  </si>
  <si>
    <t>API-002</t>
  </si>
  <si>
    <t>API-003</t>
  </si>
  <si>
    <t>API-004</t>
  </si>
  <si>
    <t>API-005</t>
  </si>
  <si>
    <t>API-006</t>
  </si>
  <si>
    <t>API-007</t>
  </si>
  <si>
    <t>API-008</t>
  </si>
  <si>
    <t>API-009</t>
  </si>
  <si>
    <t>API-010</t>
  </si>
  <si>
    <t>API-011</t>
  </si>
  <si>
    <t>API-012</t>
  </si>
  <si>
    <t>API key hợp lệ</t>
  </si>
  <si>
    <t>Thiếu API key</t>
  </si>
  <si>
    <t>API key sai/hết hiệu lực</t>
  </si>
  <si>
    <t>Tạo survey qua API v3</t>
  </si>
  <si>
    <t>Payload survey invalid</t>
  </si>
  <si>
    <t>Đọc survey theo ID</t>
  </si>
  <si>
    <t>Update survey</t>
  </si>
  <si>
    <t>Delete survey</t>
  </si>
  <si>
    <t>Cross-workspace API access</t>
  </si>
  <si>
    <t>Rate limit/too many requests</t>
  </si>
  <si>
    <t>Content-Type/body malformed</t>
  </si>
  <si>
    <t>Có key active</t>
  </si>
  <si>
    <t>Endpoint cần auth</t>
  </si>
  <si>
    <t>Key invalid/revoked</t>
  </si>
  <si>
    <t>Key có quyền</t>
  </si>
  <si>
    <t>Key hợp lệ</t>
  </si>
  <si>
    <t>Survey tồn tại</t>
  </si>
  <si>
    <t>Key write</t>
  </si>
  <si>
    <t>Survey test</t>
  </si>
  <si>
    <t>Key scope A</t>
  </si>
  <si>
    <t>Có &gt; page size records</t>
  </si>
  <si>
    <t>Env bật rate limit</t>
  </si>
  <si>
    <t>Authorization key</t>
  </si>
  <si>
    <t>No key</t>
  </si>
  <si>
    <t>Invalid key</t>
  </si>
  <si>
    <t>Valid payload</t>
  </si>
  <si>
    <t>Missing required field</t>
  </si>
  <si>
    <t>surveyId</t>
  </si>
  <si>
    <t>PATCH valid</t>
  </si>
  <si>
    <t>DELETE</t>
  </si>
  <si>
    <t>Resource B</t>
  </si>
  <si>
    <t>page/limit</t>
  </si>
  <si>
    <t>Burst requests</t>
  </si>
  <si>
    <t>Malformed JSON</t>
  </si>
  <si>
    <t>GET endpoint hợp lệ</t>
  </si>
  <si>
    <t>GET</t>
  </si>
  <si>
    <t>POST survey</t>
  </si>
  <si>
    <t>POST</t>
  </si>
  <si>
    <t>Survey</t>
  </si>
  <si>
    <t>ID</t>
  </si>
  <si>
    <t>GET/PATCH</t>
  </si>
  <si>
    <t>List endpoint</t>
  </si>
  <si>
    <t>POST/PATCH</t>
  </si>
  <si>
    <t>Gửi request</t>
  </si>
  <si>
    <t>Gửi payload</t>
  </si>
  <si>
    <t>Gửi PATCH</t>
  </si>
  <si>
    <t>Gửi DELETE</t>
  </si>
  <si>
    <t>Gửi request B</t>
  </si>
  <si>
    <t>GET page1</t>
  </si>
  <si>
    <t>Gửi burst</t>
  </si>
  <si>
    <t>Gửi body lỗi</t>
  </si>
  <si>
    <t>Input 1: Authorization key | Input 2: GET endpoint hợp lệ</t>
  </si>
  <si>
    <t>Request được xác thực và trả dữ liệu đúng scope.</t>
  </si>
  <si>
    <t>Đọc status</t>
  </si>
  <si>
    <t>Đọc status/body</t>
  </si>
  <si>
    <t>Đọc response</t>
  </si>
  <si>
    <t>Đọc 2xx</t>
  </si>
  <si>
    <t>Đọc validation error</t>
  </si>
  <si>
    <t>So field</t>
  </si>
  <si>
    <t>GET lại</t>
  </si>
  <si>
    <t>GET page2</t>
  </si>
  <si>
    <t>Quan sát status</t>
  </si>
  <si>
    <t>Input 1: No key | Input 2: GET</t>
  </si>
  <si>
    <t>Bị từ chối auth.</t>
  </si>
  <si>
    <t>Đọc body</t>
  </si>
  <si>
    <t>Lấy ID</t>
  </si>
  <si>
    <t>So UI</t>
  </si>
  <si>
    <t>Mở UI</t>
  </si>
  <si>
    <t>Kiểm tra data</t>
  </si>
  <si>
    <t>So IDs</t>
  </si>
  <si>
    <t>Chờ reset</t>
  </si>
  <si>
    <t>Input 1: Invalid key | Input 2: GET</t>
  </si>
  <si>
    <t>Bị từ chối.</t>
  </si>
  <si>
    <t>Kiểm tra metadata</t>
  </si>
  <si>
    <t>Gửi lại</t>
  </si>
  <si>
    <t>Input 1: Valid payload | Input 2: POST survey</t>
  </si>
  <si>
    <t>Survey được tạo và UI thấy đúng dữ liệu.</t>
  </si>
  <si>
    <t>4xx với lỗi rõ; không tạo survey.</t>
  </si>
  <si>
    <t>Response API đúng survey.</t>
  </si>
  <si>
    <t>Dữ liệu cập nhật đúng.</t>
  </si>
  <si>
    <t>Survey không còn truy cập theo contract.</t>
  </si>
  <si>
    <t>Bị chặn/not found; không lộ B.</t>
  </si>
  <si>
    <t>Không trùng/mất record ngoài contract.</t>
  </si>
  <si>
    <t>Có 429/contract phù hợp và hồi phục sau window.</t>
  </si>
  <si>
    <t>4xx an toàn, không crash server.</t>
  </si>
  <si>
    <t>Input 1: Missing required field | Input 2: POST</t>
  </si>
  <si>
    <t>Unauthorized</t>
  </si>
  <si>
    <t>Forbidden/Not found</t>
  </si>
  <si>
    <t>Too Many Requests</t>
  </si>
  <si>
    <t>Bad request</t>
  </si>
  <si>
    <t>Input 1: surveyId | Input 2: GET</t>
  </si>
  <si>
    <t>Không data</t>
  </si>
  <si>
    <t>ID hợp lệ</t>
  </si>
  <si>
    <t>Không partial create</t>
  </si>
  <si>
    <t>Không field cross-tenant</t>
  </si>
  <si>
    <t>Không đổi ID</t>
  </si>
  <si>
    <t>Status phù hợp</t>
  </si>
  <si>
    <t>Page metadata đúng</t>
  </si>
  <si>
    <t>Không 500</t>
  </si>
  <si>
    <t>Không partial write</t>
  </si>
  <si>
    <t>Input 1: PATCH valid | Input 2: Survey</t>
  </si>
  <si>
    <t>Input 1: DELETE | Input 2: ID</t>
  </si>
  <si>
    <t>Input 1: Resource B | Input 2: GET/PATCH</t>
  </si>
  <si>
    <t>Input 1: page/limit | Input 2: List endpoint</t>
  </si>
  <si>
    <t>Input 1: Burst requests | Input 2: -</t>
  </si>
  <si>
    <t>Input 1: Malformed JSON | Input 2: POST/PATCH</t>
  </si>
  <si>
    <t>Verified | https://github.com/Royal2005-coder/formailab/tree/ef92d78aa86916e6fbf4bc8a43044a4a4328154d/apps/web/modules</t>
  </si>
  <si>
    <t>0 &lt; size ≤ giới hạn cấu hình</t>
  </si>
  <si>
    <t>File rỗng/quá lớn</t>
  </si>
  <si>
    <t>Đúng max size cấu hình</t>
  </si>
  <si>
    <t>Max + 1 byte</t>
  </si>
  <si>
    <t>Loại file</t>
  </si>
  <si>
    <t>Extension/MIME được phép</t>
  </si>
  <si>
    <t>Loại file cấm</t>
  </si>
  <si>
    <t>File nhỏ hợp lệ đúng MIME</t>
  </si>
  <si>
    <t>Extension giả / MIME sai</t>
  </si>
  <si>
    <t>Signed URL</t>
  </si>
  <si>
    <t>Còn hiệu lực</t>
  </si>
  <si>
    <t>Sai/đã hết hạn</t>
  </si>
  <si>
    <t>Ngay trước expiry</t>
  </si>
  <si>
    <t>Vừa sau expiry</t>
  </si>
  <si>
    <t>Email</t>
  </si>
  <si>
    <t>Địa chỉ đúng định dạng</t>
  </si>
  <si>
    <t>Email sai định dạng</t>
  </si>
  <si>
    <t>Địa chỉ tối thiểu vẫn hợp lệ</t>
  </si>
  <si>
    <t>Thiếu local/domain</t>
  </si>
  <si>
    <t>SMTP</t>
  </si>
  <si>
    <t>Service available</t>
  </si>
  <si>
    <t>Ngay trước timeout</t>
  </si>
  <si>
    <t>Timeout/kết nối thất bại</t>
  </si>
  <si>
    <t>STGE-002</t>
  </si>
  <si>
    <t>STGE-003</t>
  </si>
  <si>
    <t>STGE-004</t>
  </si>
  <si>
    <t>STGE-005</t>
  </si>
  <si>
    <t>STGE-006</t>
  </si>
  <si>
    <t>STGE-007</t>
  </si>
  <si>
    <t>STGE-008</t>
  </si>
  <si>
    <t>STGE-009</t>
  </si>
  <si>
    <t>STGE-010</t>
  </si>
  <si>
    <t>STGE-011</t>
  </si>
  <si>
    <t>STGE-012</t>
  </si>
  <si>
    <t>Upload file hợp lệ</t>
  </si>
  <si>
    <t>Download file</t>
  </si>
  <si>
    <t>Xóa file</t>
  </si>
  <si>
    <t>File loại không cho phép</t>
  </si>
  <si>
    <t>File vượt dung lượng</t>
  </si>
  <si>
    <t>Signed URL còn hiệu lực</t>
  </si>
  <si>
    <t>Signed URL hết hạn</t>
  </si>
  <si>
    <t>Email invitation</t>
  </si>
  <si>
    <t>Email reset password</t>
  </si>
  <si>
    <t>Email address sai format</t>
  </si>
  <si>
    <t>SMTP unavailable</t>
  </si>
  <si>
    <t>Không lộ signed URL/secret không cần thiết</t>
  </si>
  <si>
    <t>Storage hoạt động</t>
  </si>
  <si>
    <t>File đã upload</t>
  </si>
  <si>
    <t>File tồn tại</t>
  </si>
  <si>
    <t>Upload có restriction</t>
  </si>
  <si>
    <t>Có max size</t>
  </si>
  <si>
    <t>Có signed URL</t>
  </si>
  <si>
    <t>Có expired URL</t>
  </si>
  <si>
    <t>SMTP test</t>
  </si>
  <si>
    <t>Form có email</t>
  </si>
  <si>
    <t>Mock SMTP down</t>
  </si>
  <si>
    <t>Có storage credential</t>
  </si>
  <si>
    <t>Download</t>
  </si>
  <si>
    <t>Disallowed extension</t>
  </si>
  <si>
    <t>Max+1</t>
  </si>
  <si>
    <t>URL valid</t>
  </si>
  <si>
    <t>Expired</t>
  </si>
  <si>
    <t>Invite member</t>
  </si>
  <si>
    <t>abc@</t>
  </si>
  <si>
    <t>Send email</t>
  </si>
  <si>
    <t>Upload control</t>
  </si>
  <si>
    <t>Before expiry</t>
  </si>
  <si>
    <t>Recipient test</t>
  </si>
  <si>
    <t>Secret</t>
  </si>
  <si>
    <t>Chọn file</t>
  </si>
  <si>
    <t>Mở file list</t>
  </si>
  <si>
    <t>Chọn file lớn</t>
  </si>
  <si>
    <t>Gửi invite</t>
  </si>
  <si>
    <t>Nhập email sai</t>
  </si>
  <si>
    <t>Trigger email</t>
  </si>
  <si>
    <t>Thực hiện upload/download</t>
  </si>
  <si>
    <t>Input 1: File hợp lệ | Input 2: Upload control</t>
  </si>
  <si>
    <t>File được lưu và hiển thị metadata phù hợp.</t>
  </si>
  <si>
    <t>Tải file</t>
  </si>
  <si>
    <t>Mở inbox</t>
  </si>
  <si>
    <t>Quan sát UI/log</t>
  </si>
  <si>
    <t>Xem UI</t>
  </si>
  <si>
    <t>Input 1: Download | Input 2: -</t>
  </si>
  <si>
    <t>File tải đúng nội dung.</t>
  </si>
  <si>
    <t>So content</t>
  </si>
  <si>
    <t>Đọc subject/link</t>
  </si>
  <si>
    <t>Kiểm tra core transaction</t>
  </si>
  <si>
    <t>Gây lỗi</t>
  </si>
  <si>
    <t>File bị xóa theo contract.</t>
  </si>
  <si>
    <t>Thử download</t>
  </si>
  <si>
    <t>Reset theo flow</t>
  </si>
  <si>
    <t>Retry khi phục hồi</t>
  </si>
  <si>
    <t>Kiểm tra log</t>
  </si>
  <si>
    <t>Input 1: Disallowed extension | Input 2: -</t>
  </si>
  <si>
    <t>Bị chặn với thông báo rõ ràng.</t>
  </si>
  <si>
    <t>Bị chặn theo giới hạn.</t>
  </si>
  <si>
    <t>File truy cập được trong thời hạn.</t>
  </si>
  <si>
    <t>Bị từ chối sau expiry.</t>
  </si>
  <si>
    <t>Email đến đúng người và link đúng flow.</t>
  </si>
  <si>
    <t>Email reset hợp lệ.</t>
  </si>
  <si>
    <t>Form chặn email sai.</t>
  </si>
  <si>
    <t>Lỗi email được xử lý theo contract, không làm corrupt dữ liệu chính.</t>
  </si>
  <si>
    <t>Không lộ secret/access key đầy đủ.</t>
  </si>
  <si>
    <t>Input 1: Max+1 | Input 2: -</t>
  </si>
  <si>
    <t>File type invalid</t>
  </si>
  <si>
    <t>File too large</t>
  </si>
  <si>
    <t>Expired/Forbidden</t>
  </si>
  <si>
    <t>Email invalid</t>
  </si>
  <si>
    <t>Email delivery failed</t>
  </si>
  <si>
    <t>Input 1: URL valid | Input 2: Before expiry</t>
  </si>
  <si>
    <t>Không corruption</t>
  </si>
  <si>
    <t>Không xóa file khác</t>
  </si>
  <si>
    <t>Không lưu object</t>
  </si>
  <si>
    <t>Không partial object</t>
  </si>
  <si>
    <t>Đúng object</t>
  </si>
  <si>
    <t>Không gửi nhầm org</t>
  </si>
  <si>
    <t>Token đúng user</t>
  </si>
  <si>
    <t>Không gửi mail</t>
  </si>
  <si>
    <t>Có log/retry phù hợp</t>
  </si>
  <si>
    <t>Input 1: Expired | Input 2: -</t>
  </si>
  <si>
    <t>Input 1: Invite member | Input 2: Recipient test</t>
  </si>
  <si>
    <t>Input 1: Forgot password | Input 2: Recipient test</t>
  </si>
  <si>
    <t>Input 1: abc@ | Input 2: Submit</t>
  </si>
  <si>
    <t>Input 1: Send email | Input 2: -</t>
  </si>
  <si>
    <t>Input 1: UI/log | Input 2: Secret</t>
  </si>
  <si>
    <t>Function1</t>
  </si>
  <si>
    <t>Function A</t>
  </si>
  <si>
    <t>BÀI MẪU — primeCheck(num) với miền đầu vào 0..1000</t>
  </si>
  <si>
    <t>&lt;Developer Name&gt;</t>
  </si>
  <si>
    <t>Lines of code</t>
  </si>
  <si>
    <t>Mục đích: minh họa cách chọn VP/IP/VB/IB bằng phân lớp tương đương và giá trị biên.
VP: giá trị hợp lệ trong miền. IP: giá trị ngoài miền. VB: giá trị biên trong miền. IB: ngay ngoài biên.
Expected: số nguyên tố → TRUE; số không nguyên tố → FALSE; ngoài miền → Exception.</t>
  </si>
  <si>
    <t>Ví dụ kỹ thuật phân lớp tương đương và phân tích giá trị biên.</t>
  </si>
  <si>
    <t>N/A/B</t>
  </si>
  <si>
    <t>2 / 2 / 6</t>
  </si>
  <si>
    <t>UTCb01</t>
  </si>
  <si>
    <t>UTCb02</t>
  </si>
  <si>
    <t>UTCb03</t>
  </si>
  <si>
    <t>UTCb04</t>
  </si>
  <si>
    <t>UTCb05</t>
  </si>
  <si>
    <t>UTCb06</t>
  </si>
  <si>
    <t>UTCb07</t>
  </si>
  <si>
    <t>UTCb08</t>
  </si>
  <si>
    <t>UTCb09</t>
  </si>
  <si>
    <t>UTCb10</t>
  </si>
  <si>
    <t>Số nguyên tố hợp lệ 5</t>
  </si>
  <si>
    <t>Số không nguyên tố 10</t>
  </si>
  <si>
    <t>Giá trị dưới miền -5</t>
  </si>
  <si>
    <t>Giá trị trên miền 1100</t>
  </si>
  <si>
    <t>Biên 0</t>
  </si>
  <si>
    <t>Biên 1000</t>
  </si>
  <si>
    <t>Biên trong 1</t>
  </si>
  <si>
    <t>Biên trong 2</t>
  </si>
  <si>
    <t>Biên ngoài -1</t>
  </si>
  <si>
    <t>Biên ngoài 1001</t>
  </si>
  <si>
    <t>VP</t>
  </si>
  <si>
    <t>IP</t>
  </si>
  <si>
    <t>VB</t>
  </si>
  <si>
    <t>IB</t>
  </si>
  <si>
    <t>Ghi chú</t>
  </si>
  <si>
    <t>Hàm primeCheck</t>
  </si>
  <si>
    <t>num</t>
  </si>
  <si>
    <t>0..1000</t>
  </si>
  <si>
    <t>&lt;0</t>
  </si>
  <si>
    <t>Lower boundary</t>
  </si>
  <si>
    <t>num=5</t>
  </si>
  <si>
    <t>num=10</t>
  </si>
  <si>
    <t>num=-5</t>
  </si>
  <si>
    <t>num=1100</t>
  </si>
  <si>
    <t>num=0</t>
  </si>
  <si>
    <t>num=1000</t>
  </si>
  <si>
    <t>num=1</t>
  </si>
  <si>
    <t>num=2</t>
  </si>
  <si>
    <t>num=-1</t>
  </si>
  <si>
    <t>num=1001</t>
  </si>
  <si>
    <t>&gt;1000</t>
  </si>
  <si>
    <t>Upper boundary</t>
  </si>
  <si>
    <t>Inside boundary</t>
  </si>
  <si>
    <t>Gọi primeCheck(5)</t>
  </si>
  <si>
    <t>Gọi primeCheck(10)</t>
  </si>
  <si>
    <t>Gọi primeCheck(-5)</t>
  </si>
  <si>
    <t>Gọi primeCheck(1100)</t>
  </si>
  <si>
    <t>Gọi primeCheck(0)</t>
  </si>
  <si>
    <t>Gọi primeCheck(1000)</t>
  </si>
  <si>
    <t>Gọi primeCheck(1)</t>
  </si>
  <si>
    <t>Gọi primeCheck(2)</t>
  </si>
  <si>
    <t>Gọi primeCheck(-1)</t>
  </si>
  <si>
    <t>Gọi primeCheck(1001)</t>
  </si>
  <si>
    <t>First prime</t>
  </si>
  <si>
    <t>Nhận kết quả</t>
  </si>
  <si>
    <t>So expected</t>
  </si>
  <si>
    <t>TRUE</t>
  </si>
  <si>
    <t>FALSE</t>
  </si>
  <si>
    <t>Exception</t>
  </si>
  <si>
    <t>Passed / Failed</t>
  </si>
  <si>
    <t>Master test case hệ thống  AILAB Survey gồm built in module và customize module: CSV Import và AI Native</t>
  </si>
  <si>
    <t>Ví dụ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</si>
</sst>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17">
    <font>
      <sz val="11"/>
      <name val="Carlito"/>
    </font>
    <font>
      <sz val="9"/>
      <color rgb="FF1F2937"/>
      <name val="Arial"/>
    </font>
    <font>
      <b/>
      <sz val="16"/>
      <color rgb="FFFFFFFF"/>
      <name val="Arial"/>
    </font>
    <font>
      <b/>
      <sz val="9"/>
      <color rgb="FF000080"/>
      <name val="Arial"/>
    </font>
    <font>
      <b/>
      <sz val="22"/>
      <color rgb="FF000000"/>
      <name val="Arial"/>
    </font>
    <font>
      <b/>
      <sz val="9"/>
      <color rgb="FF1F2937"/>
      <name val="Arial"/>
    </font>
    <font>
      <b/>
      <sz val="11"/>
      <color rgb="FF1F2937"/>
      <name val="Arial"/>
    </font>
    <font>
      <b/>
      <sz val="9"/>
      <color rgb="FFFFFFFF"/>
      <name val="Arial"/>
    </font>
    <font>
      <b/>
      <sz val="18"/>
      <color rgb="FF1F2937"/>
      <name val="Arial"/>
    </font>
    <font>
      <b/>
      <sz val="8"/>
      <color rgb="FFFFFFFF"/>
      <name val="Arial"/>
    </font>
    <font>
      <b/>
      <sz val="12"/>
      <color rgb="FF000080"/>
      <name val="Arial"/>
    </font>
    <font>
      <sz val="9"/>
      <color rgb="FF0563C1"/>
      <name val="Arial"/>
    </font>
    <font>
      <b/>
      <sz val="10"/>
      <color rgb="FFFFFFFF"/>
      <name val="Arial"/>
    </font>
    <font>
      <b/>
      <sz val="9"/>
      <color rgb="FF1F4E78"/>
      <name val="Arial"/>
    </font>
    <font>
      <sz val="8"/>
      <color rgb="FF1F2937"/>
      <name val="Arial"/>
    </font>
    <font>
      <i/>
      <sz val="8"/>
      <color rgb="FF1F2937"/>
      <name val="Arial"/>
    </font>
    <font>
      <b/>
      <sz val="9"/>
      <color rgb="FF000000"/>
      <name val="Arial"/>
    </font>
  </fonts>
  <fills count="10">
    <fill>
      <patternFill patternType="none"/>
    </fill>
    <fill>
      <patternFill patternType="gray125"/>
    </fill>
    <fill>
      <patternFill patternType="solid">
        <fgColor rgb="FF000080"/>
      </patternFill>
    </fill>
    <fill>
      <patternFill patternType="solid">
        <fgColor rgb="FFD9EAF7"/>
      </patternFill>
    </fill>
    <fill>
      <patternFill patternType="solid">
        <fgColor rgb="FFEEF5FB"/>
      </patternFill>
    </fill>
    <fill>
      <patternFill patternType="solid">
        <fgColor rgb="FF000080"/>
      </patternFill>
    </fill>
    <fill>
      <patternFill patternType="solid">
        <fgColor rgb="FFD9EAF7"/>
      </patternFill>
    </fill>
    <fill>
      <patternFill patternType="solid">
        <fgColor rgb="FFEEF5FB"/>
      </patternFill>
    </fill>
    <fill>
      <patternFill patternType="solid">
        <fgColor rgb="FFFFF200"/>
      </patternFill>
    </fill>
    <fill>
      <patternFill patternType="solid">
        <fgColor rgb="FFFFF45C"/>
      </patternFill>
    </fill>
  </fills>
  <borders count="15">
    <border>
      <left/>
      <right/>
      <top/>
      <bottom/>
      <diagonal/>
    </border>
    <border>
      <left style="thin">
        <color rgb="FF7F8C9A"/>
      </left>
      <right/>
      <top style="thin">
        <color rgb="FF7F8C9A"/>
      </top>
      <bottom/>
      <diagonal/>
    </border>
    <border>
      <left/>
      <right style="thin">
        <color rgb="FF7F8C9A"/>
      </right>
      <top style="thin">
        <color rgb="FF7F8C9A"/>
      </top>
      <bottom/>
      <diagonal/>
    </border>
    <border>
      <left style="thin">
        <color rgb="FF7F8C9A"/>
      </left>
      <right/>
      <top/>
      <bottom/>
      <diagonal/>
    </border>
    <border>
      <left/>
      <right style="thin">
        <color rgb="FF7F8C9A"/>
      </right>
      <top/>
      <bottom/>
      <diagonal/>
    </border>
    <border>
      <left style="thin">
        <color rgb="FF7F8C9A"/>
      </left>
      <right/>
      <top/>
      <bottom style="thin">
        <color rgb="FF7F8C9A"/>
      </bottom>
      <diagonal/>
    </border>
    <border>
      <left/>
      <right style="thin">
        <color rgb="FF7F8C9A"/>
      </right>
      <top/>
      <bottom style="thin">
        <color rgb="FF7F8C9A"/>
      </bottom>
      <diagonal/>
    </border>
    <border>
      <left/>
      <right/>
      <top style="thin">
        <color rgb="FF7F8C9A"/>
      </top>
      <bottom/>
      <diagonal/>
    </border>
    <border>
      <left/>
      <right/>
      <top/>
      <bottom style="thin">
        <color rgb="FF7F8C9A"/>
      </bottom>
      <diagonal/>
    </border>
    <border>
      <left style="thin">
        <color rgb="FF7F8C9A"/>
      </left>
      <right/>
      <top style="thin">
        <color rgb="FF7F8C9A"/>
      </top>
      <bottom style="thin">
        <color rgb="FF7F8C9A"/>
      </bottom>
      <diagonal/>
    </border>
    <border>
      <left/>
      <right/>
      <top style="thin">
        <color rgb="FF7F8C9A"/>
      </top>
      <bottom style="thin">
        <color rgb="FF7F8C9A"/>
      </bottom>
      <diagonal/>
    </border>
    <border>
      <left/>
      <right style="thin">
        <color rgb="FF7F8C9A"/>
      </right>
      <top style="thin">
        <color rgb="FF7F8C9A"/>
      </top>
      <bottom style="thin">
        <color rgb="FF7F8C9A"/>
      </bottom>
      <diagonal/>
    </border>
    <border>
      <left style="thin">
        <color rgb="FF7F6000"/>
      </left>
      <right/>
      <top style="medium">
        <color rgb="FF7F6000"/>
      </top>
      <bottom style="medium">
        <color rgb="FF7F6000"/>
      </bottom>
      <diagonal/>
    </border>
    <border>
      <left/>
      <right/>
      <top style="medium">
        <color rgb="FF7F6000"/>
      </top>
      <bottom style="medium">
        <color rgb="FF7F6000"/>
      </bottom>
      <diagonal/>
    </border>
    <border>
      <left/>
      <right style="thin">
        <color rgb="FF7F6000"/>
      </right>
      <top style="medium">
        <color rgb="FF7F6000"/>
      </top>
      <bottom style="medium">
        <color rgb="FF7F6000"/>
      </bottom>
      <diagonal/>
    </border>
  </borders>
  <cellStyleXfs count="1">
    <xf numFmtId="0" fontId="0" fillId="0" borderId="0"/>
  </cellStyleXfs>
  <cellXfs count="153">
    <xf numFmtId="0" fontId="0" fillId="0" borderId="0" xfId="0"/>
    <xf numFmtId="0" fontId="1" fillId="0" borderId="0" xfId="0" applyFont="1"/>
    <xf numFmtId="0" fontId="1" fillId="0" borderId="0" xfId="0" applyFont="1" applyAlignment="1">
      <alignment wrapText="1"/>
    </xf>
    <xf numFmtId="0" fontId="1" fillId="0" borderId="0" xfId="0" applyFont="1" applyAlignment="1">
      <alignment vertical="top" wrapText="1"/>
    </xf>
    <xf numFmtId="0" fontId="3" fillId="3" borderId="1" xfId="0" applyFont="1" applyFill="1" applyBorder="1" applyAlignment="1">
      <alignment vertical="top" wrapText="1"/>
    </xf>
    <xf numFmtId="0" fontId="1" fillId="0" borderId="2" xfId="0" applyFont="1" applyBorder="1" applyAlignment="1">
      <alignment vertical="top" wrapText="1"/>
    </xf>
    <xf numFmtId="0" fontId="3" fillId="3" borderId="3" xfId="0" applyFont="1" applyFill="1" applyBorder="1" applyAlignment="1">
      <alignment vertical="top" wrapText="1"/>
    </xf>
    <xf numFmtId="0" fontId="1" fillId="0" borderId="4" xfId="0" applyFont="1" applyBorder="1" applyAlignment="1">
      <alignment vertical="top" wrapText="1"/>
    </xf>
    <xf numFmtId="0" fontId="3" fillId="3" borderId="5" xfId="0" applyFont="1" applyFill="1" applyBorder="1" applyAlignment="1">
      <alignment vertical="top" wrapText="1"/>
    </xf>
    <xf numFmtId="0" fontId="1" fillId="0" borderId="6" xfId="0" applyFont="1" applyBorder="1" applyAlignment="1">
      <alignment vertical="top" wrapText="1"/>
    </xf>
    <xf numFmtId="0" fontId="3" fillId="3" borderId="1" xfId="0" applyFont="1" applyFill="1" applyBorder="1"/>
    <xf numFmtId="0" fontId="1" fillId="0" borderId="2" xfId="0" applyFont="1" applyBorder="1"/>
    <xf numFmtId="0" fontId="3" fillId="3" borderId="3" xfId="0" applyFont="1" applyFill="1" applyBorder="1"/>
    <xf numFmtId="0" fontId="1" fillId="0" borderId="4" xfId="0" applyFont="1" applyBorder="1"/>
    <xf numFmtId="0" fontId="3" fillId="3" borderId="5" xfId="0" applyFont="1" applyFill="1" applyBorder="1"/>
    <xf numFmtId="0" fontId="1" fillId="0" borderId="6" xfId="0" applyFont="1" applyBorder="1"/>
    <xf numFmtId="0" fontId="5" fillId="3" borderId="0" xfId="0" applyFont="1" applyFill="1"/>
    <xf numFmtId="0" fontId="5" fillId="3" borderId="1" xfId="0" applyFont="1" applyFill="1" applyBorder="1"/>
    <xf numFmtId="0" fontId="1" fillId="0" borderId="7" xfId="0" applyFont="1" applyBorder="1"/>
    <xf numFmtId="0" fontId="5" fillId="3" borderId="7" xfId="0" applyFont="1" applyFill="1" applyBorder="1"/>
    <xf numFmtId="0" fontId="5" fillId="3" borderId="3" xfId="0" applyFont="1" applyFill="1" applyBorder="1"/>
    <xf numFmtId="164" fontId="1" fillId="0" borderId="4" xfId="0" applyNumberFormat="1" applyFont="1" applyBorder="1"/>
    <xf numFmtId="0" fontId="5" fillId="3" borderId="5" xfId="0" applyFont="1" applyFill="1" applyBorder="1"/>
    <xf numFmtId="0" fontId="1" fillId="0" borderId="8" xfId="0" applyFont="1" applyBorder="1"/>
    <xf numFmtId="0" fontId="5" fillId="3" borderId="8" xfId="0" applyFont="1" applyFill="1" applyBorder="1"/>
    <xf numFmtId="0" fontId="7" fillId="2" borderId="1" xfId="0" applyFont="1" applyFill="1" applyBorder="1" applyAlignment="1">
      <alignment horizontal="center" wrapText="1"/>
    </xf>
    <xf numFmtId="0" fontId="7" fillId="2" borderId="7" xfId="0" applyFont="1" applyFill="1" applyBorder="1" applyAlignment="1">
      <alignment horizontal="center" wrapText="1"/>
    </xf>
    <xf numFmtId="0" fontId="7" fillId="2" borderId="2" xfId="0" applyFont="1" applyFill="1" applyBorder="1" applyAlignment="1">
      <alignment horizontal="center" wrapText="1"/>
    </xf>
    <xf numFmtId="164" fontId="1" fillId="0" borderId="3" xfId="0" applyNumberFormat="1" applyFont="1" applyBorder="1"/>
    <xf numFmtId="0" fontId="1" fillId="0" borderId="3" xfId="0" applyFont="1" applyBorder="1"/>
    <xf numFmtId="0" fontId="1" fillId="0" borderId="5" xfId="0" applyFont="1" applyBorder="1"/>
    <xf numFmtId="0" fontId="5" fillId="0" borderId="0" xfId="0" applyFont="1"/>
    <xf numFmtId="0" fontId="7" fillId="2" borderId="1"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1" fillId="0" borderId="4" xfId="0" applyFont="1" applyBorder="1" applyAlignment="1">
      <alignment wrapText="1"/>
    </xf>
    <xf numFmtId="0" fontId="1" fillId="0" borderId="3" xfId="0" applyFont="1" applyBorder="1" applyAlignment="1">
      <alignment vertical="top" wrapText="1"/>
    </xf>
    <xf numFmtId="0" fontId="1" fillId="0" borderId="5" xfId="0" applyFont="1" applyBorder="1" applyAlignment="1">
      <alignment vertical="top" wrapText="1"/>
    </xf>
    <xf numFmtId="0" fontId="1" fillId="0" borderId="8" xfId="0" applyFont="1" applyBorder="1" applyAlignment="1">
      <alignment vertical="top" wrapText="1"/>
    </xf>
    <xf numFmtId="0" fontId="5" fillId="4" borderId="4" xfId="0" applyFont="1" applyFill="1" applyBorder="1" applyAlignment="1">
      <alignment horizontal="center" wrapText="1"/>
    </xf>
    <xf numFmtId="0" fontId="3" fillId="0" borderId="6" xfId="0" applyFont="1" applyBorder="1" applyAlignment="1">
      <alignment horizontal="center"/>
    </xf>
    <xf numFmtId="0" fontId="5" fillId="0" borderId="0" xfId="0" applyFont="1" applyAlignment="1">
      <alignment vertical="center" wrapText="1"/>
    </xf>
    <xf numFmtId="0" fontId="9" fillId="2" borderId="1"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5" fillId="0" borderId="8" xfId="0" applyFont="1" applyBorder="1" applyAlignment="1">
      <alignment vertical="center" wrapText="1"/>
    </xf>
    <xf numFmtId="0" fontId="1" fillId="0" borderId="8" xfId="0" applyFont="1" applyBorder="1" applyAlignment="1">
      <alignment horizontal="center"/>
    </xf>
    <xf numFmtId="0" fontId="1" fillId="0" borderId="6" xfId="0" applyFont="1" applyBorder="1" applyAlignment="1">
      <alignment horizontal="center"/>
    </xf>
    <xf numFmtId="0" fontId="3" fillId="4" borderId="0" xfId="0" applyFont="1" applyFill="1" applyAlignment="1">
      <alignment horizontal="center"/>
    </xf>
    <xf numFmtId="0" fontId="3" fillId="4" borderId="4" xfId="0" applyFont="1" applyFill="1" applyBorder="1" applyAlignment="1">
      <alignment horizontal="center"/>
    </xf>
    <xf numFmtId="164" fontId="1" fillId="0" borderId="0" xfId="0" applyNumberFormat="1" applyFont="1" applyAlignment="1">
      <alignment horizontal="center"/>
    </xf>
    <xf numFmtId="164" fontId="1" fillId="0" borderId="4" xfId="0" applyNumberFormat="1" applyFont="1" applyBorder="1" applyAlignment="1">
      <alignment horizontal="center"/>
    </xf>
    <xf numFmtId="0" fontId="7" fillId="2" borderId="8" xfId="0" applyFont="1" applyFill="1" applyBorder="1" applyAlignment="1">
      <alignment horizontal="center"/>
    </xf>
    <xf numFmtId="165" fontId="1" fillId="0" borderId="4" xfId="0" applyNumberFormat="1" applyFont="1" applyBorder="1"/>
    <xf numFmtId="165" fontId="7" fillId="2" borderId="6" xfId="0" applyNumberFormat="1" applyFont="1" applyFill="1" applyBorder="1" applyAlignment="1">
      <alignment horizontal="center"/>
    </xf>
    <xf numFmtId="0" fontId="9" fillId="2" borderId="1" xfId="0" applyFont="1" applyFill="1" applyBorder="1" applyAlignment="1">
      <alignment horizontal="center" wrapText="1"/>
    </xf>
    <xf numFmtId="0" fontId="9" fillId="2" borderId="7" xfId="0" applyFont="1" applyFill="1" applyBorder="1" applyAlignment="1">
      <alignment horizontal="center" wrapText="1"/>
    </xf>
    <xf numFmtId="0" fontId="9" fillId="2" borderId="2" xfId="0" applyFont="1" applyFill="1" applyBorder="1" applyAlignment="1">
      <alignment horizontal="center" wrapText="1"/>
    </xf>
    <xf numFmtId="0" fontId="5" fillId="0" borderId="8" xfId="0" applyFont="1" applyBorder="1"/>
    <xf numFmtId="0" fontId="3" fillId="3" borderId="1" xfId="0" applyFont="1" applyFill="1" applyBorder="1" applyAlignment="1">
      <alignment horizontal="center"/>
    </xf>
    <xf numFmtId="0" fontId="3" fillId="3" borderId="7" xfId="0" applyFont="1" applyFill="1" applyBorder="1" applyAlignment="1">
      <alignment horizontal="center"/>
    </xf>
    <xf numFmtId="0" fontId="3" fillId="3" borderId="2" xfId="0" applyFont="1" applyFill="1" applyBorder="1" applyAlignment="1">
      <alignment horizontal="center"/>
    </xf>
    <xf numFmtId="0" fontId="11" fillId="0" borderId="0" xfId="0" applyFont="1" applyAlignment="1">
      <alignment vertical="top" wrapText="1"/>
    </xf>
    <xf numFmtId="0" fontId="11" fillId="0" borderId="8" xfId="0" applyFont="1" applyBorder="1" applyAlignment="1">
      <alignment vertical="top" wrapText="1"/>
    </xf>
    <xf numFmtId="0" fontId="11" fillId="0" borderId="0" xfId="0" applyFont="1"/>
    <xf numFmtId="0" fontId="13" fillId="6" borderId="1"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13" fillId="6" borderId="2" xfId="0" applyFont="1" applyFill="1" applyBorder="1" applyAlignment="1">
      <alignment horizontal="center" vertical="center" wrapText="1"/>
    </xf>
    <xf numFmtId="0" fontId="14" fillId="0" borderId="3" xfId="0" applyFont="1" applyBorder="1" applyAlignment="1">
      <alignment vertical="top" wrapText="1"/>
    </xf>
    <xf numFmtId="0" fontId="14" fillId="0" borderId="0" xfId="0" applyFont="1" applyAlignment="1">
      <alignment vertical="top" wrapText="1"/>
    </xf>
    <xf numFmtId="0" fontId="14" fillId="0" borderId="4" xfId="0" applyFont="1" applyBorder="1" applyAlignment="1">
      <alignment vertical="top" wrapText="1"/>
    </xf>
    <xf numFmtId="0" fontId="14" fillId="0" borderId="5" xfId="0" applyFont="1" applyBorder="1" applyAlignment="1">
      <alignment vertical="top" wrapText="1"/>
    </xf>
    <xf numFmtId="0" fontId="14" fillId="0" borderId="8" xfId="0" applyFont="1" applyBorder="1" applyAlignment="1">
      <alignment vertical="top" wrapText="1"/>
    </xf>
    <xf numFmtId="0" fontId="14" fillId="0" borderId="6" xfId="0" applyFont="1" applyBorder="1" applyAlignment="1">
      <alignment vertical="top" wrapText="1"/>
    </xf>
    <xf numFmtId="0" fontId="14" fillId="0" borderId="3" xfId="0" applyFont="1" applyBorder="1" applyAlignment="1">
      <alignment horizontal="center" vertical="top" wrapText="1"/>
    </xf>
    <xf numFmtId="0" fontId="14" fillId="0" borderId="5" xfId="0" applyFont="1" applyBorder="1" applyAlignment="1">
      <alignment horizontal="center" vertical="top" wrapText="1"/>
    </xf>
    <xf numFmtId="0" fontId="14" fillId="0" borderId="0" xfId="0" applyFont="1" applyAlignment="1">
      <alignment horizontal="center" vertical="top" wrapText="1"/>
    </xf>
    <xf numFmtId="0" fontId="14" fillId="0" borderId="8" xfId="0" applyFont="1" applyBorder="1" applyAlignment="1">
      <alignment horizontal="center" vertical="top" wrapText="1"/>
    </xf>
    <xf numFmtId="0" fontId="14" fillId="0" borderId="4" xfId="0" applyFont="1" applyBorder="1" applyAlignment="1">
      <alignment horizontal="center" vertical="top" wrapText="1"/>
    </xf>
    <xf numFmtId="0" fontId="14" fillId="0" borderId="6" xfId="0" applyFont="1" applyBorder="1" applyAlignment="1">
      <alignment horizontal="center" vertical="top" wrapText="1"/>
    </xf>
    <xf numFmtId="0" fontId="3" fillId="6" borderId="1" xfId="0" applyFont="1" applyFill="1" applyBorder="1" applyAlignment="1">
      <alignment vertical="top" wrapText="1"/>
    </xf>
    <xf numFmtId="0" fontId="3" fillId="6" borderId="3" xfId="0" applyFont="1" applyFill="1" applyBorder="1" applyAlignment="1">
      <alignment vertical="top" wrapText="1"/>
    </xf>
    <xf numFmtId="0" fontId="3" fillId="6" borderId="5" xfId="0" applyFont="1" applyFill="1" applyBorder="1" applyAlignment="1">
      <alignment vertical="top" wrapText="1"/>
    </xf>
    <xf numFmtId="0" fontId="16" fillId="8" borderId="12" xfId="0" applyFont="1" applyFill="1" applyBorder="1" applyAlignment="1">
      <alignment vertical="center" wrapText="1"/>
    </xf>
    <xf numFmtId="0" fontId="16" fillId="8" borderId="13" xfId="0" applyFont="1" applyFill="1" applyBorder="1" applyAlignment="1">
      <alignment vertical="center" wrapText="1"/>
    </xf>
    <xf numFmtId="0" fontId="16" fillId="8" borderId="14" xfId="0" applyFont="1" applyFill="1" applyBorder="1" applyAlignment="1">
      <alignment vertical="center" wrapText="1"/>
    </xf>
    <xf numFmtId="0" fontId="16" fillId="9" borderId="12" xfId="0" applyFont="1" applyFill="1" applyBorder="1" applyAlignment="1">
      <alignment horizontal="center" vertical="center"/>
    </xf>
    <xf numFmtId="0" fontId="16" fillId="9" borderId="13" xfId="0" applyFont="1" applyFill="1" applyBorder="1" applyAlignment="1">
      <alignment horizontal="center" vertical="center"/>
    </xf>
    <xf numFmtId="0" fontId="16" fillId="9" borderId="14" xfId="0" applyFont="1" applyFill="1" applyBorder="1" applyAlignment="1">
      <alignment horizontal="center" vertical="center"/>
    </xf>
    <xf numFmtId="0" fontId="2" fillId="2" borderId="0" xfId="0" applyFont="1" applyFill="1" applyAlignment="1">
      <alignment horizontal="center" vertical="center"/>
    </xf>
    <xf numFmtId="0" fontId="4" fillId="0" borderId="0" xfId="0" applyFont="1" applyAlignment="1">
      <alignment horizontal="center" vertical="center" wrapText="1"/>
    </xf>
    <xf numFmtId="0" fontId="6" fillId="0" borderId="0" xfId="0" applyFont="1"/>
    <xf numFmtId="0" fontId="8" fillId="0" borderId="0" xfId="0" applyFont="1" applyAlignment="1">
      <alignment horizontal="center"/>
    </xf>
    <xf numFmtId="0" fontId="5" fillId="0" borderId="1" xfId="0" applyFont="1" applyBorder="1" applyAlignment="1">
      <alignment vertical="center" wrapText="1"/>
    </xf>
    <xf numFmtId="0" fontId="5" fillId="0" borderId="7" xfId="0" applyFont="1" applyBorder="1" applyAlignment="1">
      <alignment vertical="center" wrapText="1"/>
    </xf>
    <xf numFmtId="0" fontId="1" fillId="0" borderId="7" xfId="0" applyFont="1" applyBorder="1" applyAlignment="1">
      <alignment wrapText="1"/>
    </xf>
    <xf numFmtId="0" fontId="1" fillId="0" borderId="2" xfId="0" applyFont="1" applyBorder="1" applyAlignment="1">
      <alignment wrapText="1"/>
    </xf>
    <xf numFmtId="0" fontId="5" fillId="0" borderId="3" xfId="0" applyFont="1" applyBorder="1" applyAlignment="1">
      <alignment vertical="center" wrapText="1"/>
    </xf>
    <xf numFmtId="0" fontId="5" fillId="0" borderId="0" xfId="0" applyFont="1" applyAlignment="1">
      <alignment vertical="center" wrapText="1"/>
    </xf>
    <xf numFmtId="0" fontId="1" fillId="0" borderId="0" xfId="0" applyFont="1" applyAlignment="1">
      <alignment wrapText="1"/>
    </xf>
    <xf numFmtId="0" fontId="1" fillId="0" borderId="4" xfId="0" applyFont="1" applyBorder="1" applyAlignment="1">
      <alignment wrapText="1"/>
    </xf>
    <xf numFmtId="0" fontId="5" fillId="0" borderId="5" xfId="0" applyFont="1" applyBorder="1" applyAlignment="1">
      <alignment vertical="center" wrapText="1"/>
    </xf>
    <xf numFmtId="0" fontId="5" fillId="0" borderId="8" xfId="0" applyFont="1" applyBorder="1" applyAlignment="1">
      <alignment vertical="center" wrapText="1"/>
    </xf>
    <xf numFmtId="0" fontId="1" fillId="0" borderId="8" xfId="0" applyFont="1" applyBorder="1" applyAlignment="1">
      <alignment wrapText="1"/>
    </xf>
    <xf numFmtId="0" fontId="1" fillId="0" borderId="6" xfId="0" applyFont="1" applyBorder="1" applyAlignment="1">
      <alignment wrapText="1"/>
    </xf>
    <xf numFmtId="0" fontId="7" fillId="2" borderId="5" xfId="0" applyFont="1" applyFill="1" applyBorder="1" applyAlignment="1">
      <alignment horizontal="center"/>
    </xf>
    <xf numFmtId="0" fontId="7" fillId="2" borderId="8" xfId="0" applyFont="1" applyFill="1" applyBorder="1" applyAlignment="1">
      <alignment horizontal="center"/>
    </xf>
    <xf numFmtId="0" fontId="5" fillId="3" borderId="1" xfId="0" applyFont="1" applyFill="1" applyBorder="1" applyAlignment="1">
      <alignment wrapText="1"/>
    </xf>
    <xf numFmtId="0" fontId="5" fillId="3" borderId="7" xfId="0" applyFont="1" applyFill="1" applyBorder="1" applyAlignment="1">
      <alignment wrapText="1"/>
    </xf>
    <xf numFmtId="0" fontId="5" fillId="3" borderId="3" xfId="0" applyFont="1" applyFill="1" applyBorder="1" applyAlignment="1">
      <alignment wrapText="1"/>
    </xf>
    <xf numFmtId="0" fontId="5" fillId="3" borderId="0" xfId="0" applyFont="1" applyFill="1" applyAlignment="1">
      <alignment wrapText="1"/>
    </xf>
    <xf numFmtId="164" fontId="1" fillId="0" borderId="4" xfId="0" applyNumberFormat="1" applyFont="1" applyBorder="1" applyAlignment="1">
      <alignment wrapText="1"/>
    </xf>
    <xf numFmtId="164" fontId="1" fillId="0" borderId="0" xfId="0" applyNumberFormat="1" applyFont="1" applyAlignment="1">
      <alignment wrapText="1"/>
    </xf>
    <xf numFmtId="0" fontId="5" fillId="3" borderId="5" xfId="0" applyFont="1" applyFill="1" applyBorder="1" applyAlignment="1">
      <alignment wrapText="1"/>
    </xf>
    <xf numFmtId="0" fontId="5" fillId="3" borderId="8" xfId="0" applyFont="1" applyFill="1" applyBorder="1" applyAlignment="1">
      <alignment wrapText="1"/>
    </xf>
    <xf numFmtId="165" fontId="5" fillId="3" borderId="2" xfId="0" applyNumberFormat="1" applyFont="1" applyFill="1" applyBorder="1" applyAlignment="1">
      <alignment wrapText="1"/>
    </xf>
    <xf numFmtId="165" fontId="1" fillId="0" borderId="7" xfId="0" applyNumberFormat="1" applyFont="1" applyBorder="1" applyAlignment="1">
      <alignment wrapText="1"/>
    </xf>
    <xf numFmtId="165" fontId="5" fillId="3" borderId="4" xfId="0" applyNumberFormat="1" applyFont="1" applyFill="1" applyBorder="1" applyAlignment="1">
      <alignment wrapText="1"/>
    </xf>
    <xf numFmtId="165" fontId="1" fillId="0" borderId="0" xfId="0" applyNumberFormat="1" applyFont="1" applyAlignment="1">
      <alignment wrapText="1"/>
    </xf>
    <xf numFmtId="0" fontId="3" fillId="3" borderId="6" xfId="0" applyFont="1" applyFill="1" applyBorder="1" applyAlignment="1">
      <alignment wrapText="1"/>
    </xf>
    <xf numFmtId="0" fontId="3" fillId="0" borderId="8" xfId="0" applyFont="1" applyBorder="1" applyAlignment="1">
      <alignment horizontal="center" wrapText="1"/>
    </xf>
    <xf numFmtId="0" fontId="3" fillId="0" borderId="6" xfId="0" applyFont="1" applyBorder="1" applyAlignment="1">
      <alignment horizontal="center" wrapText="1"/>
    </xf>
    <xf numFmtId="0" fontId="5" fillId="0" borderId="1" xfId="0" applyFont="1" applyBorder="1"/>
    <xf numFmtId="0" fontId="5" fillId="0" borderId="7" xfId="0" applyFont="1" applyBorder="1"/>
    <xf numFmtId="0" fontId="1" fillId="0" borderId="7" xfId="0" applyFont="1" applyBorder="1"/>
    <xf numFmtId="0" fontId="1" fillId="0" borderId="2" xfId="0" applyFont="1" applyBorder="1"/>
    <xf numFmtId="0" fontId="5" fillId="0" borderId="3" xfId="0" applyFont="1" applyBorder="1"/>
    <xf numFmtId="0" fontId="5" fillId="0" borderId="0" xfId="0" applyFont="1"/>
    <xf numFmtId="0" fontId="1" fillId="0" borderId="0" xfId="0" applyFont="1"/>
    <xf numFmtId="0" fontId="1" fillId="0" borderId="4" xfId="0" applyFont="1" applyBorder="1"/>
    <xf numFmtId="0" fontId="5" fillId="4" borderId="3" xfId="0" applyFont="1" applyFill="1" applyBorder="1" applyAlignment="1">
      <alignment horizontal="center" wrapText="1"/>
    </xf>
    <xf numFmtId="0" fontId="5" fillId="4" borderId="0" xfId="0" applyFont="1" applyFill="1" applyAlignment="1">
      <alignment horizontal="center" wrapText="1"/>
    </xf>
    <xf numFmtId="0" fontId="5" fillId="4" borderId="4" xfId="0" applyFont="1" applyFill="1" applyBorder="1" applyAlignment="1">
      <alignment horizontal="center" wrapText="1"/>
    </xf>
    <xf numFmtId="0" fontId="3" fillId="0" borderId="5" xfId="0" applyFont="1" applyBorder="1" applyAlignment="1">
      <alignment horizontal="center"/>
    </xf>
    <xf numFmtId="0" fontId="3" fillId="0" borderId="8" xfId="0" applyFont="1" applyBorder="1" applyAlignment="1">
      <alignment horizontal="center"/>
    </xf>
    <xf numFmtId="0" fontId="3" fillId="0" borderId="6" xfId="0" applyFont="1" applyBorder="1" applyAlignment="1">
      <alignment horizontal="center"/>
    </xf>
    <xf numFmtId="0" fontId="7" fillId="2" borderId="3" xfId="0" applyFont="1" applyFill="1" applyBorder="1" applyAlignment="1">
      <alignment vertical="center" wrapText="1"/>
    </xf>
    <xf numFmtId="0" fontId="7" fillId="2" borderId="5" xfId="0" applyFont="1" applyFill="1" applyBorder="1" applyAlignment="1">
      <alignment vertical="center" wrapText="1"/>
    </xf>
    <xf numFmtId="0" fontId="12" fillId="5" borderId="0" xfId="0" applyFont="1" applyFill="1" applyAlignment="1">
      <alignment horizontal="center" vertical="center"/>
    </xf>
    <xf numFmtId="0" fontId="15" fillId="7" borderId="9" xfId="0" applyFont="1" applyFill="1" applyBorder="1" applyAlignment="1">
      <alignment vertical="center" wrapText="1"/>
    </xf>
    <xf numFmtId="0" fontId="15" fillId="7" borderId="10" xfId="0" applyFont="1" applyFill="1" applyBorder="1" applyAlignment="1">
      <alignment vertical="center" wrapText="1"/>
    </xf>
    <xf numFmtId="0" fontId="15" fillId="7" borderId="11" xfId="0" applyFont="1" applyFill="1" applyBorder="1" applyAlignment="1">
      <alignment vertical="center" wrapText="1"/>
    </xf>
    <xf numFmtId="0" fontId="1" fillId="0" borderId="1" xfId="0" applyFont="1" applyBorder="1"/>
    <xf numFmtId="0" fontId="1" fillId="0" borderId="3" xfId="0" applyFont="1" applyBorder="1"/>
    <xf numFmtId="0" fontId="5" fillId="4" borderId="3" xfId="0" applyFont="1" applyFill="1" applyBorder="1" applyAlignment="1">
      <alignment horizontal="center"/>
    </xf>
    <xf numFmtId="0" fontId="5" fillId="4" borderId="0" xfId="0" applyFont="1" applyFill="1" applyAlignment="1">
      <alignment horizontal="center"/>
    </xf>
    <xf numFmtId="0" fontId="5" fillId="4" borderId="4" xfId="0" applyFont="1" applyFill="1" applyBorder="1" applyAlignment="1">
      <alignment horizontal="center"/>
    </xf>
    <xf numFmtId="0" fontId="1" fillId="0" borderId="5" xfId="0" applyFont="1" applyBorder="1"/>
    <xf numFmtId="0" fontId="1" fillId="0" borderId="8" xfId="0" applyFont="1" applyBorder="1"/>
    <xf numFmtId="0" fontId="1" fillId="0" borderId="6" xfId="0" applyFont="1" applyBorder="1"/>
    <xf numFmtId="0" fontId="7" fillId="2" borderId="3" xfId="0" applyFont="1" applyFill="1" applyBorder="1" applyAlignment="1">
      <alignment vertical="center"/>
    </xf>
    <xf numFmtId="0" fontId="7" fillId="2" borderId="5" xfId="0" applyFont="1" applyFill="1" applyBorder="1" applyAlignment="1">
      <alignment vertical="center"/>
    </xf>
    <xf numFmtId="0" fontId="10" fillId="0" borderId="0" xfId="0" applyFont="1"/>
  </cellXfs>
  <cellStyles count="1">
    <cellStyle name="Normal" xfId="0" builtinId="0"/>
  </cellStyles>
  <dxfs count="51">
    <dxf>
      <font>
        <b/>
        <color rgb="FFC65911"/>
      </font>
      <fill>
        <patternFill patternType="solid">
          <bgColor rgb="FFFCE5CD"/>
        </patternFill>
      </fill>
    </dxf>
    <dxf>
      <font>
        <b/>
        <color rgb="FFC00000"/>
      </font>
      <fill>
        <patternFill patternType="solid">
          <bgColor rgb="FFF4CCCC"/>
        </patternFill>
      </fill>
    </dxf>
    <dxf>
      <font>
        <b/>
        <color rgb="FF375623"/>
      </font>
      <fill>
        <patternFill patternType="solid">
          <bgColor rgb="FFE2F0D9"/>
        </patternFill>
      </fill>
    </dxf>
    <dxf>
      <font>
        <b/>
        <color rgb="FFC65911"/>
      </font>
      <fill>
        <patternFill patternType="solid">
          <bgColor rgb="FFFCE5CD"/>
        </patternFill>
      </fill>
    </dxf>
    <dxf>
      <font>
        <b/>
        <color rgb="FFC00000"/>
      </font>
      <fill>
        <patternFill patternType="solid">
          <bgColor rgb="FFF4CCCC"/>
        </patternFill>
      </fill>
    </dxf>
    <dxf>
      <font>
        <b/>
        <color rgb="FF375623"/>
      </font>
      <fill>
        <patternFill patternType="solid">
          <bgColor rgb="FFE2F0D9"/>
        </patternFill>
      </fill>
    </dxf>
    <dxf>
      <font>
        <b/>
        <color rgb="FFC65911"/>
      </font>
      <fill>
        <patternFill patternType="solid">
          <bgColor rgb="FFFCE5CD"/>
        </patternFill>
      </fill>
    </dxf>
    <dxf>
      <font>
        <b/>
        <color rgb="FFC00000"/>
      </font>
      <fill>
        <patternFill patternType="solid">
          <bgColor rgb="FFF4CCCC"/>
        </patternFill>
      </fill>
    </dxf>
    <dxf>
      <font>
        <b/>
        <color rgb="FF375623"/>
      </font>
      <fill>
        <patternFill patternType="solid">
          <bgColor rgb="FFE2F0D9"/>
        </patternFill>
      </fill>
    </dxf>
    <dxf>
      <font>
        <b/>
        <color rgb="FFC65911"/>
      </font>
      <fill>
        <patternFill patternType="solid">
          <bgColor rgb="FFFCE5CD"/>
        </patternFill>
      </fill>
    </dxf>
    <dxf>
      <font>
        <b/>
        <color rgb="FFC00000"/>
      </font>
      <fill>
        <patternFill patternType="solid">
          <bgColor rgb="FFF4CCCC"/>
        </patternFill>
      </fill>
    </dxf>
    <dxf>
      <font>
        <b/>
        <color rgb="FF375623"/>
      </font>
      <fill>
        <patternFill patternType="solid">
          <bgColor rgb="FFE2F0D9"/>
        </patternFill>
      </fill>
    </dxf>
    <dxf>
      <font>
        <b/>
        <color rgb="FFC65911"/>
      </font>
      <fill>
        <patternFill patternType="solid">
          <bgColor rgb="FFFCE5CD"/>
        </patternFill>
      </fill>
    </dxf>
    <dxf>
      <font>
        <b/>
        <color rgb="FFC00000"/>
      </font>
      <fill>
        <patternFill patternType="solid">
          <bgColor rgb="FFF4CCCC"/>
        </patternFill>
      </fill>
    </dxf>
    <dxf>
      <font>
        <b/>
        <color rgb="FF375623"/>
      </font>
      <fill>
        <patternFill patternType="solid">
          <bgColor rgb="FFE2F0D9"/>
        </patternFill>
      </fill>
    </dxf>
    <dxf>
      <font>
        <b/>
        <color rgb="FFC65911"/>
      </font>
      <fill>
        <patternFill patternType="solid">
          <bgColor rgb="FFFCE5CD"/>
        </patternFill>
      </fill>
    </dxf>
    <dxf>
      <font>
        <b/>
        <color rgb="FFC00000"/>
      </font>
      <fill>
        <patternFill patternType="solid">
          <bgColor rgb="FFF4CCCC"/>
        </patternFill>
      </fill>
    </dxf>
    <dxf>
      <font>
        <b/>
        <color rgb="FF375623"/>
      </font>
      <fill>
        <patternFill patternType="solid">
          <bgColor rgb="FFE2F0D9"/>
        </patternFill>
      </fill>
    </dxf>
    <dxf>
      <font>
        <b/>
        <color rgb="FFC65911"/>
      </font>
      <fill>
        <patternFill patternType="solid">
          <bgColor rgb="FFFCE5CD"/>
        </patternFill>
      </fill>
    </dxf>
    <dxf>
      <font>
        <b/>
        <color rgb="FFC00000"/>
      </font>
      <fill>
        <patternFill patternType="solid">
          <bgColor rgb="FFF4CCCC"/>
        </patternFill>
      </fill>
    </dxf>
    <dxf>
      <font>
        <b/>
        <color rgb="FF375623"/>
      </font>
      <fill>
        <patternFill patternType="solid">
          <bgColor rgb="FFE2F0D9"/>
        </patternFill>
      </fill>
    </dxf>
    <dxf>
      <font>
        <b/>
        <color rgb="FFC65911"/>
      </font>
      <fill>
        <patternFill patternType="solid">
          <bgColor rgb="FFFCE5CD"/>
        </patternFill>
      </fill>
    </dxf>
    <dxf>
      <font>
        <b/>
        <color rgb="FFC00000"/>
      </font>
      <fill>
        <patternFill patternType="solid">
          <bgColor rgb="FFF4CCCC"/>
        </patternFill>
      </fill>
    </dxf>
    <dxf>
      <font>
        <b/>
        <color rgb="FF375623"/>
      </font>
      <fill>
        <patternFill patternType="solid">
          <bgColor rgb="FFE2F0D9"/>
        </patternFill>
      </fill>
    </dxf>
    <dxf>
      <font>
        <b/>
        <color rgb="FFC65911"/>
      </font>
      <fill>
        <patternFill patternType="solid">
          <bgColor rgb="FFFCE5CD"/>
        </patternFill>
      </fill>
    </dxf>
    <dxf>
      <font>
        <b/>
        <color rgb="FFC00000"/>
      </font>
      <fill>
        <patternFill patternType="solid">
          <bgColor rgb="FFF4CCCC"/>
        </patternFill>
      </fill>
    </dxf>
    <dxf>
      <font>
        <b/>
        <color rgb="FF375623"/>
      </font>
      <fill>
        <patternFill patternType="solid">
          <bgColor rgb="FFE2F0D9"/>
        </patternFill>
      </fill>
    </dxf>
    <dxf>
      <font>
        <b/>
        <color rgb="FFC65911"/>
      </font>
      <fill>
        <patternFill patternType="solid">
          <bgColor rgb="FFFCE5CD"/>
        </patternFill>
      </fill>
    </dxf>
    <dxf>
      <font>
        <b/>
        <color rgb="FFC00000"/>
      </font>
      <fill>
        <patternFill patternType="solid">
          <bgColor rgb="FFF4CCCC"/>
        </patternFill>
      </fill>
    </dxf>
    <dxf>
      <font>
        <b/>
        <color rgb="FF375623"/>
      </font>
      <fill>
        <patternFill patternType="solid">
          <bgColor rgb="FFE2F0D9"/>
        </patternFill>
      </fill>
    </dxf>
    <dxf>
      <font>
        <b/>
        <color rgb="FFC65911"/>
      </font>
      <fill>
        <patternFill patternType="solid">
          <bgColor rgb="FFFCE5CD"/>
        </patternFill>
      </fill>
    </dxf>
    <dxf>
      <font>
        <b/>
        <color rgb="FFC00000"/>
      </font>
      <fill>
        <patternFill patternType="solid">
          <bgColor rgb="FFF4CCCC"/>
        </patternFill>
      </fill>
    </dxf>
    <dxf>
      <font>
        <b/>
        <color rgb="FF375623"/>
      </font>
      <fill>
        <patternFill patternType="solid">
          <bgColor rgb="FFE2F0D9"/>
        </patternFill>
      </fill>
    </dxf>
    <dxf>
      <font>
        <b/>
        <color rgb="FFC65911"/>
      </font>
      <fill>
        <patternFill patternType="solid">
          <bgColor rgb="FFFCE5CD"/>
        </patternFill>
      </fill>
    </dxf>
    <dxf>
      <font>
        <b/>
        <color rgb="FFC00000"/>
      </font>
      <fill>
        <patternFill patternType="solid">
          <bgColor rgb="FFF4CCCC"/>
        </patternFill>
      </fill>
    </dxf>
    <dxf>
      <font>
        <b/>
        <color rgb="FF375623"/>
      </font>
      <fill>
        <patternFill patternType="solid">
          <bgColor rgb="FFE2F0D9"/>
        </patternFill>
      </fill>
    </dxf>
    <dxf>
      <font>
        <b/>
        <color rgb="FFC65911"/>
      </font>
      <fill>
        <patternFill patternType="solid">
          <bgColor rgb="FFFCE5CD"/>
        </patternFill>
      </fill>
    </dxf>
    <dxf>
      <font>
        <b/>
        <color rgb="FFC00000"/>
      </font>
      <fill>
        <patternFill patternType="solid">
          <bgColor rgb="FFF4CCCC"/>
        </patternFill>
      </fill>
    </dxf>
    <dxf>
      <font>
        <b/>
        <color rgb="FF375623"/>
      </font>
      <fill>
        <patternFill patternType="solid">
          <bgColor rgb="FFE2F0D9"/>
        </patternFill>
      </fill>
    </dxf>
    <dxf>
      <font>
        <b/>
        <color rgb="FFC65911"/>
      </font>
      <fill>
        <patternFill patternType="solid">
          <bgColor rgb="FFFCE5CD"/>
        </patternFill>
      </fill>
    </dxf>
    <dxf>
      <font>
        <b/>
        <color rgb="FFC00000"/>
      </font>
      <fill>
        <patternFill patternType="solid">
          <bgColor rgb="FFF4CCCC"/>
        </patternFill>
      </fill>
    </dxf>
    <dxf>
      <font>
        <b/>
        <color rgb="FF375623"/>
      </font>
      <fill>
        <patternFill patternType="solid">
          <bgColor rgb="FFE2F0D9"/>
        </patternFill>
      </fill>
    </dxf>
    <dxf>
      <font>
        <b/>
        <color rgb="FFC65911"/>
      </font>
      <fill>
        <patternFill patternType="solid">
          <bgColor rgb="FFFCE5CD"/>
        </patternFill>
      </fill>
    </dxf>
    <dxf>
      <font>
        <b/>
        <color rgb="FFC00000"/>
      </font>
      <fill>
        <patternFill patternType="solid">
          <bgColor rgb="FFF4CCCC"/>
        </patternFill>
      </fill>
    </dxf>
    <dxf>
      <font>
        <b/>
        <color rgb="FF375623"/>
      </font>
      <fill>
        <patternFill patternType="solid">
          <bgColor rgb="FFE2F0D9"/>
        </patternFill>
      </fill>
    </dxf>
    <dxf>
      <font>
        <b/>
        <color rgb="FFC65911"/>
      </font>
      <fill>
        <patternFill patternType="solid">
          <bgColor rgb="FFFCE5CD"/>
        </patternFill>
      </fill>
    </dxf>
    <dxf>
      <font>
        <b/>
        <color rgb="FFC00000"/>
      </font>
      <fill>
        <patternFill patternType="solid">
          <bgColor rgb="FFF4CCCC"/>
        </patternFill>
      </fill>
    </dxf>
    <dxf>
      <font>
        <b/>
        <color rgb="FF375623"/>
      </font>
      <fill>
        <patternFill patternType="solid">
          <bgColor rgb="FFE2F0D9"/>
        </patternFill>
      </fill>
    </dxf>
    <dxf>
      <font>
        <b/>
        <color rgb="FFC65911"/>
      </font>
      <fill>
        <patternFill patternType="solid">
          <bgColor rgb="FFFCE5CD"/>
        </patternFill>
      </fill>
    </dxf>
    <dxf>
      <font>
        <b/>
        <color rgb="FFC00000"/>
      </font>
      <fill>
        <patternFill patternType="solid">
          <bgColor rgb="FFF4CCCC"/>
        </patternFill>
      </fill>
    </dxf>
    <dxf>
      <font>
        <b/>
        <color rgb="FF375623"/>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Passed Percent / Execution Status</a:t>
            </a:r>
          </a:p>
        </c:rich>
      </c:tx>
      <c:overlay val="1"/>
    </c:title>
    <c:autoTitleDeleted val="0"/>
    <c:plotArea>
      <c:layout/>
      <c:pieChart>
        <c:varyColors val="1"/>
        <c:ser>
          <c:idx val="0"/>
          <c:order val="0"/>
          <c:tx>
            <c:v>Count</c:v>
          </c:tx>
          <c:cat>
            <c:strRef>
              <c:f>'Test Report'!$M$4:$M$7</c:f>
              <c:strCache>
                <c:ptCount val="4"/>
                <c:pt idx="0">
                  <c:v>Passed</c:v>
                </c:pt>
                <c:pt idx="1">
                  <c:v>Failed</c:v>
                </c:pt>
                <c:pt idx="2">
                  <c:v>Blocked</c:v>
                </c:pt>
                <c:pt idx="3">
                  <c:v>Untested</c:v>
                </c:pt>
              </c:strCache>
            </c:strRef>
          </c:cat>
          <c:val>
            <c:numRef>
              <c:f>'Test Report'!$N$4:$N$7</c:f>
              <c:numCache>
                <c:formatCode>General</c:formatCode>
                <c:ptCount val="4"/>
                <c:pt idx="0">
                  <c:v>1</c:v>
                </c:pt>
                <c:pt idx="1">
                  <c:v>1</c:v>
                </c:pt>
                <c:pt idx="2">
                  <c:v>1</c:v>
                </c:pt>
                <c:pt idx="3">
                  <c:v>221</c:v>
                </c:pt>
              </c:numCache>
            </c:numRef>
          </c:val>
          <c:extLst>
            <c:ext xmlns:c16="http://schemas.microsoft.com/office/drawing/2014/chart" uri="{C3380CC4-5D6E-409C-BE32-E72D297353CC}">
              <c16:uniqueId val="{00000000-8B64-44B4-B7FA-BFE6C8B8C099}"/>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Test Type</a:t>
            </a:r>
          </a:p>
        </c:rich>
      </c:tx>
      <c:overlay val="1"/>
    </c:title>
    <c:autoTitleDeleted val="0"/>
    <c:plotArea>
      <c:layout/>
      <c:barChart>
        <c:barDir val="col"/>
        <c:grouping val="clustered"/>
        <c:varyColors val="0"/>
        <c:ser>
          <c:idx val="0"/>
          <c:order val="0"/>
          <c:tx>
            <c:v>Count</c:v>
          </c:tx>
          <c:invertIfNegative val="1"/>
          <c:cat>
            <c:strRef>
              <c:f>'Test Report'!$M$11:$M$13</c:f>
              <c:strCache>
                <c:ptCount val="3"/>
                <c:pt idx="0">
                  <c:v>Normal (N)</c:v>
                </c:pt>
                <c:pt idx="1">
                  <c:v>Abnormal (A)</c:v>
                </c:pt>
                <c:pt idx="2">
                  <c:v>Boundary (B)</c:v>
                </c:pt>
              </c:strCache>
            </c:strRef>
          </c:cat>
          <c:val>
            <c:numRef>
              <c:f>'Test Report'!$N$11:$N$13</c:f>
              <c:numCache>
                <c:formatCode>General</c:formatCode>
                <c:ptCount val="3"/>
                <c:pt idx="0">
                  <c:v>112</c:v>
                </c:pt>
                <c:pt idx="1">
                  <c:v>72</c:v>
                </c:pt>
                <c:pt idx="2">
                  <c:v>40</c:v>
                </c:pt>
              </c:numCache>
            </c:numRef>
          </c:val>
          <c:extLst>
            <c:ext xmlns:c16="http://schemas.microsoft.com/office/drawing/2014/chart" uri="{C3380CC4-5D6E-409C-BE32-E72D297353CC}">
              <c16:uniqueId val="{00000000-1962-487C-9258-5F5870441A6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39</xdr:row>
      <xdr:rowOff>0</xdr:rowOff>
    </xdr:from>
    <xdr:to>
      <xdr:col>6</xdr:col>
      <xdr:colOff>0</xdr:colOff>
      <xdr:row>55</xdr:row>
      <xdr:rowOff>0</xdr:rowOff>
    </xdr:to>
    <xdr:graphicFrame macro="">
      <xdr:nvGraphicFramePr>
        <xdr:cNvPr id="2" nam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39</xdr:row>
      <xdr:rowOff>0</xdr:rowOff>
    </xdr:from>
    <xdr:to>
      <xdr:col>11</xdr:col>
      <xdr:colOff>0</xdr:colOff>
      <xdr:row>55</xdr:row>
      <xdr:rowOff>0</xdr:rowOff>
    </xdr:to>
    <xdr:graphicFrame macro="">
      <xdr:nvGraphicFramePr>
        <xdr:cNvPr id="3" name="Char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ChatGPT">
  <a:themeElements>
    <a:clrScheme name="AILAB Survey Blue">
      <a:dk1>
        <a:srgbClr val="000000"/>
      </a:dk1>
      <a:lt1>
        <a:srgbClr val="FFFFFF"/>
      </a:lt1>
      <a:dk2>
        <a:srgbClr val="0E2841"/>
      </a:dk2>
      <a:lt2>
        <a:srgbClr val="EEF5FB"/>
      </a:lt2>
      <a:accent1>
        <a:srgbClr val="1F4E78"/>
      </a:accent1>
      <a:accent2>
        <a:srgbClr val="2F75B5"/>
      </a:accent2>
      <a:accent3>
        <a:srgbClr val="5B9BD5"/>
      </a:accent3>
      <a:accent4>
        <a:srgbClr val="70AD47"/>
      </a:accent4>
      <a:accent5>
        <a:srgbClr val="ED7D31"/>
      </a:accent5>
      <a:accent6>
        <a:srgbClr val="A5A5A5"/>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AILAB Survey Blu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
  <sheetViews>
    <sheetView topLeftCell="A22" workbookViewId="0">
      <selection activeCell="C16" sqref="C16"/>
    </sheetView>
  </sheetViews>
  <sheetFormatPr defaultRowHeight="13.8"/>
  <cols>
    <col min="1" max="1" width="24" customWidth="1"/>
    <col min="2" max="2" width="95" customWidth="1"/>
  </cols>
  <sheetData>
    <row r="1" spans="1:8">
      <c r="A1" s="89" t="s">
        <v>0</v>
      </c>
      <c r="B1" s="89"/>
      <c r="C1" s="89"/>
      <c r="D1" s="89"/>
      <c r="E1" s="89"/>
      <c r="F1" s="89"/>
      <c r="G1" s="89"/>
      <c r="H1" s="89"/>
    </row>
    <row r="2" spans="1:8">
      <c r="A2" s="89"/>
      <c r="B2" s="89"/>
      <c r="C2" s="89"/>
      <c r="D2" s="89"/>
      <c r="E2" s="89"/>
      <c r="F2" s="89"/>
      <c r="G2" s="89"/>
      <c r="H2" s="89"/>
    </row>
    <row r="3" spans="1:8">
      <c r="A3" s="1"/>
      <c r="B3" s="1"/>
      <c r="C3" s="1"/>
      <c r="D3" s="1"/>
      <c r="E3" s="1"/>
      <c r="F3" s="1"/>
      <c r="G3" s="1"/>
      <c r="H3" s="1"/>
    </row>
    <row r="4" spans="1:8" ht="31.95" customHeight="1">
      <c r="A4" s="4" t="s">
        <v>1</v>
      </c>
      <c r="B4" s="5" t="s">
        <v>2</v>
      </c>
      <c r="C4" s="1"/>
      <c r="D4" s="1"/>
      <c r="E4" s="1"/>
      <c r="F4" s="1"/>
      <c r="G4" s="1"/>
      <c r="H4" s="1"/>
    </row>
    <row r="5" spans="1:8" ht="31.95" customHeight="1">
      <c r="A5" s="6" t="s">
        <v>3</v>
      </c>
      <c r="B5" s="7" t="s">
        <v>4</v>
      </c>
      <c r="C5" s="1"/>
      <c r="D5" s="1"/>
      <c r="E5" s="1"/>
      <c r="F5" s="1"/>
      <c r="G5" s="1"/>
      <c r="H5" s="1"/>
    </row>
    <row r="6" spans="1:8" ht="31.95" customHeight="1">
      <c r="A6" s="6" t="s">
        <v>5</v>
      </c>
      <c r="B6" s="7" t="s">
        <v>6</v>
      </c>
      <c r="C6" s="1"/>
      <c r="D6" s="1"/>
      <c r="E6" s="1"/>
      <c r="F6" s="1"/>
      <c r="G6" s="1"/>
      <c r="H6" s="1"/>
    </row>
    <row r="7" spans="1:8" ht="31.95" customHeight="1">
      <c r="A7" s="6" t="s">
        <v>7</v>
      </c>
      <c r="B7" s="7" t="s">
        <v>8</v>
      </c>
      <c r="C7" s="1"/>
      <c r="D7" s="1"/>
      <c r="E7" s="1"/>
      <c r="F7" s="1"/>
      <c r="G7" s="1"/>
      <c r="H7" s="1"/>
    </row>
    <row r="8" spans="1:8" ht="31.95" customHeight="1">
      <c r="A8" s="6" t="s">
        <v>9</v>
      </c>
      <c r="B8" s="7" t="s">
        <v>10</v>
      </c>
      <c r="C8" s="1"/>
      <c r="D8" s="1"/>
      <c r="E8" s="1"/>
      <c r="F8" s="1"/>
      <c r="G8" s="1"/>
      <c r="H8" s="1"/>
    </row>
    <row r="9" spans="1:8" ht="31.95" customHeight="1">
      <c r="A9" s="6" t="s">
        <v>11</v>
      </c>
      <c r="B9" s="7" t="s">
        <v>12</v>
      </c>
      <c r="C9" s="1"/>
      <c r="D9" s="1"/>
      <c r="E9" s="1"/>
      <c r="F9" s="1"/>
      <c r="G9" s="1"/>
      <c r="H9" s="1"/>
    </row>
    <row r="10" spans="1:8" ht="31.95" customHeight="1">
      <c r="A10" s="6" t="s">
        <v>13</v>
      </c>
      <c r="B10" s="7" t="s">
        <v>14</v>
      </c>
      <c r="C10" s="1"/>
      <c r="D10" s="1"/>
      <c r="E10" s="1"/>
      <c r="F10" s="1"/>
      <c r="G10" s="1"/>
      <c r="H10" s="1"/>
    </row>
    <row r="11" spans="1:8" ht="31.95" customHeight="1">
      <c r="A11" s="6" t="s">
        <v>15</v>
      </c>
      <c r="B11" s="7" t="s">
        <v>16</v>
      </c>
      <c r="C11" s="1"/>
      <c r="D11" s="1"/>
      <c r="E11" s="1"/>
      <c r="F11" s="1"/>
      <c r="G11" s="1"/>
      <c r="H11" s="1"/>
    </row>
    <row r="12" spans="1:8" ht="31.95" customHeight="1">
      <c r="A12" s="6" t="s">
        <v>17</v>
      </c>
      <c r="B12" s="7" t="s">
        <v>18</v>
      </c>
      <c r="C12" s="1"/>
      <c r="D12" s="1"/>
      <c r="E12" s="1"/>
      <c r="F12" s="1"/>
      <c r="G12" s="1"/>
      <c r="H12" s="1"/>
    </row>
    <row r="13" spans="1:8" ht="31.95" customHeight="1">
      <c r="A13" s="8" t="s">
        <v>19</v>
      </c>
      <c r="B13" s="9" t="s">
        <v>20</v>
      </c>
      <c r="C13" s="1"/>
      <c r="D13" s="1"/>
      <c r="E13" s="1"/>
      <c r="F13" s="1"/>
      <c r="G13" s="1"/>
      <c r="H13" s="1"/>
    </row>
    <row r="14" spans="1:8">
      <c r="A14" s="1"/>
      <c r="B14" s="1"/>
      <c r="C14" s="1"/>
      <c r="D14" s="1"/>
      <c r="E14" s="1"/>
      <c r="F14" s="1"/>
      <c r="G14" s="1"/>
      <c r="H14" s="1"/>
    </row>
    <row r="15" spans="1:8">
      <c r="A15" s="10" t="s">
        <v>21</v>
      </c>
      <c r="B15" s="11" t="s">
        <v>22</v>
      </c>
      <c r="C15" s="1"/>
      <c r="D15" s="1"/>
      <c r="E15" s="1"/>
      <c r="F15" s="1"/>
      <c r="G15" s="1"/>
      <c r="H15" s="1"/>
    </row>
    <row r="16" spans="1:8">
      <c r="A16" s="12" t="s">
        <v>23</v>
      </c>
      <c r="B16" s="13" t="s">
        <v>24</v>
      </c>
      <c r="C16" s="1"/>
      <c r="D16" s="1"/>
      <c r="E16" s="1"/>
      <c r="F16" s="1"/>
      <c r="G16" s="1"/>
      <c r="H16" s="1"/>
    </row>
    <row r="17" spans="1:8">
      <c r="A17" s="14" t="s">
        <v>25</v>
      </c>
      <c r="B17" s="15" t="s">
        <v>26</v>
      </c>
      <c r="C17" s="1"/>
      <c r="D17" s="1"/>
      <c r="E17" s="1"/>
      <c r="F17" s="1"/>
      <c r="G17" s="1"/>
      <c r="H17" s="1"/>
    </row>
    <row r="18" spans="1:8">
      <c r="A18" s="1"/>
      <c r="B18" s="1"/>
      <c r="C18" s="1"/>
      <c r="D18" s="1"/>
      <c r="E18" s="1"/>
      <c r="F18" s="1"/>
      <c r="G18" s="1"/>
      <c r="H18" s="1"/>
    </row>
    <row r="19" spans="1:8" ht="33.6" customHeight="1">
      <c r="A19" s="80" t="s">
        <v>27</v>
      </c>
      <c r="B19" s="5" t="s">
        <v>28</v>
      </c>
      <c r="C19" s="1"/>
      <c r="D19" s="1"/>
      <c r="E19" s="1"/>
      <c r="F19" s="1"/>
      <c r="G19" s="1"/>
      <c r="H19" s="1"/>
    </row>
    <row r="20" spans="1:8" ht="33.6" customHeight="1">
      <c r="A20" s="81" t="s">
        <v>29</v>
      </c>
      <c r="B20" s="7" t="s">
        <v>30</v>
      </c>
      <c r="C20" s="1"/>
      <c r="D20" s="1"/>
      <c r="E20" s="1"/>
      <c r="F20" s="1"/>
      <c r="G20" s="1"/>
      <c r="H20" s="1"/>
    </row>
    <row r="21" spans="1:8" ht="33.6" customHeight="1">
      <c r="A21" s="82" t="s">
        <v>31</v>
      </c>
      <c r="B21" s="9" t="s">
        <v>32</v>
      </c>
      <c r="C21" s="1"/>
      <c r="D21" s="1"/>
      <c r="E21" s="1"/>
      <c r="F21" s="1"/>
      <c r="G21" s="1"/>
      <c r="H21" s="1"/>
    </row>
    <row r="22" spans="1:8">
      <c r="A22" s="1"/>
      <c r="B22" s="1"/>
      <c r="C22" s="1"/>
      <c r="D22" s="1"/>
      <c r="E22" s="1"/>
      <c r="F22" s="1"/>
      <c r="G22" s="1"/>
      <c r="H22" s="1"/>
    </row>
    <row r="23" spans="1:8">
      <c r="A23" s="1"/>
      <c r="B23" s="1"/>
      <c r="C23" s="1"/>
      <c r="D23" s="1"/>
      <c r="E23" s="1"/>
      <c r="F23" s="1"/>
      <c r="G23" s="1"/>
      <c r="H23" s="1"/>
    </row>
    <row r="24" spans="1:8">
      <c r="A24" s="1"/>
      <c r="B24" s="1"/>
      <c r="C24" s="1"/>
      <c r="D24" s="1"/>
      <c r="E24" s="1"/>
      <c r="F24" s="1"/>
      <c r="G24" s="1"/>
      <c r="H24" s="1"/>
    </row>
    <row r="25" spans="1:8">
      <c r="A25" s="1"/>
      <c r="B25" s="1"/>
      <c r="C25" s="1"/>
      <c r="D25" s="1"/>
      <c r="E25" s="1"/>
      <c r="F25" s="1"/>
      <c r="G25" s="1"/>
      <c r="H25" s="1"/>
    </row>
    <row r="26" spans="1:8">
      <c r="A26" s="1"/>
      <c r="B26" s="1"/>
      <c r="C26" s="1"/>
      <c r="D26" s="1"/>
      <c r="E26" s="1"/>
      <c r="F26" s="1"/>
      <c r="G26" s="1"/>
      <c r="H26" s="1"/>
    </row>
    <row r="27" spans="1:8">
      <c r="A27" s="1"/>
      <c r="B27" s="1"/>
      <c r="C27" s="1"/>
      <c r="D27" s="1"/>
      <c r="E27" s="1"/>
      <c r="F27" s="1"/>
      <c r="G27" s="1"/>
      <c r="H27" s="1"/>
    </row>
    <row r="28" spans="1:8">
      <c r="A28" s="1"/>
      <c r="B28" s="1"/>
      <c r="C28" s="1"/>
      <c r="D28" s="1"/>
      <c r="E28" s="1"/>
      <c r="F28" s="1"/>
      <c r="G28" s="1"/>
      <c r="H28" s="1"/>
    </row>
    <row r="29" spans="1:8">
      <c r="A29" s="1"/>
      <c r="B29" s="1"/>
      <c r="C29" s="1"/>
      <c r="D29" s="1"/>
      <c r="E29" s="1"/>
      <c r="F29" s="1"/>
      <c r="G29" s="1"/>
      <c r="H29" s="1"/>
    </row>
    <row r="30" spans="1:8">
      <c r="A30" s="1"/>
      <c r="B30" s="1"/>
      <c r="C30" s="1"/>
      <c r="D30" s="1"/>
      <c r="E30" s="1"/>
      <c r="F30" s="1"/>
      <c r="G30" s="1"/>
      <c r="H30" s="1"/>
    </row>
    <row r="31" spans="1:8">
      <c r="A31" s="1"/>
      <c r="B31" s="1"/>
      <c r="C31" s="1"/>
      <c r="D31" s="1"/>
      <c r="E31" s="1"/>
      <c r="F31" s="1"/>
      <c r="G31" s="1"/>
      <c r="H31" s="1"/>
    </row>
    <row r="32" spans="1:8">
      <c r="A32" s="1"/>
      <c r="B32" s="1"/>
      <c r="C32" s="1"/>
      <c r="D32" s="1"/>
      <c r="E32" s="1"/>
      <c r="F32" s="1"/>
      <c r="G32" s="1"/>
      <c r="H32" s="1"/>
    </row>
    <row r="33" spans="1:8">
      <c r="A33" s="1"/>
      <c r="B33" s="1"/>
      <c r="C33" s="1"/>
      <c r="D33" s="1"/>
      <c r="E33" s="1"/>
      <c r="F33" s="1"/>
      <c r="G33" s="1"/>
      <c r="H33" s="1"/>
    </row>
    <row r="34" spans="1:8">
      <c r="A34" s="1"/>
      <c r="B34" s="1"/>
      <c r="C34" s="1"/>
      <c r="D34" s="1"/>
      <c r="E34" s="1"/>
      <c r="F34" s="1"/>
      <c r="G34" s="1"/>
      <c r="H34" s="1"/>
    </row>
    <row r="35" spans="1:8">
      <c r="A35" s="1"/>
      <c r="B35" s="1"/>
      <c r="C35" s="1"/>
      <c r="D35" s="1"/>
      <c r="E35" s="1"/>
      <c r="F35" s="1"/>
      <c r="G35" s="1"/>
      <c r="H35" s="1"/>
    </row>
    <row r="36" spans="1:8">
      <c r="A36" s="1"/>
      <c r="B36" s="1"/>
      <c r="C36" s="1"/>
      <c r="D36" s="1"/>
      <c r="E36" s="1"/>
      <c r="F36" s="1"/>
      <c r="G36" s="1"/>
      <c r="H36" s="1"/>
    </row>
    <row r="37" spans="1:8">
      <c r="A37" s="1"/>
      <c r="B37" s="1"/>
      <c r="C37" s="1"/>
      <c r="D37" s="1"/>
      <c r="E37" s="1"/>
      <c r="F37" s="1"/>
      <c r="G37" s="1"/>
      <c r="H37" s="1"/>
    </row>
    <row r="38" spans="1:8">
      <c r="A38" s="1"/>
      <c r="B38" s="1"/>
      <c r="C38" s="1"/>
      <c r="D38" s="1"/>
      <c r="E38" s="1"/>
      <c r="F38" s="1"/>
      <c r="G38" s="1"/>
      <c r="H38" s="1"/>
    </row>
    <row r="39" spans="1:8">
      <c r="A39" s="1"/>
      <c r="B39" s="1"/>
      <c r="C39" s="1"/>
      <c r="D39" s="1"/>
      <c r="E39" s="1"/>
      <c r="F39" s="1"/>
      <c r="G39" s="1"/>
      <c r="H39" s="1"/>
    </row>
    <row r="40" spans="1:8">
      <c r="A40" s="1"/>
      <c r="B40" s="1"/>
      <c r="C40" s="1"/>
      <c r="D40" s="1"/>
      <c r="E40" s="1"/>
      <c r="F40" s="1"/>
      <c r="G40" s="1"/>
      <c r="H40" s="1"/>
    </row>
  </sheetData>
  <mergeCells count="1">
    <mergeCell ref="A1:H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
  <sheetViews>
    <sheetView workbookViewId="0">
      <selection activeCell="D10" sqref="D10"/>
    </sheetView>
  </sheetViews>
  <sheetFormatPr defaultRowHeight="13.8"/>
  <cols>
    <col min="1" max="1" width="18" customWidth="1"/>
    <col min="2" max="2" width="28" customWidth="1"/>
    <col min="3" max="3" width="8" customWidth="1"/>
    <col min="4" max="4" width="18" customWidth="1"/>
    <col min="5" max="5" width="86.3984375" customWidth="1"/>
    <col min="6" max="6" width="24" customWidth="1"/>
    <col min="7" max="8" width="18" customWidth="1"/>
  </cols>
  <sheetData>
    <row r="1" spans="1:8">
      <c r="A1" s="90" t="s">
        <v>33</v>
      </c>
      <c r="B1" s="90"/>
      <c r="C1" s="90"/>
      <c r="D1" s="90"/>
      <c r="E1" s="90"/>
      <c r="F1" s="90"/>
      <c r="G1" s="90"/>
      <c r="H1" s="90"/>
    </row>
    <row r="2" spans="1:8">
      <c r="A2" s="90"/>
      <c r="B2" s="90"/>
      <c r="C2" s="90"/>
      <c r="D2" s="90"/>
      <c r="E2" s="90"/>
      <c r="F2" s="90"/>
      <c r="G2" s="90"/>
      <c r="H2" s="90"/>
    </row>
    <row r="3" spans="1:8">
      <c r="A3" s="90"/>
      <c r="B3" s="90"/>
      <c r="C3" s="90"/>
      <c r="D3" s="90"/>
      <c r="E3" s="90"/>
      <c r="F3" s="90"/>
      <c r="G3" s="90"/>
      <c r="H3" s="90"/>
    </row>
    <row r="4" spans="1:8">
      <c r="A4" s="90"/>
      <c r="B4" s="90"/>
      <c r="C4" s="90"/>
      <c r="D4" s="90"/>
      <c r="E4" s="90"/>
      <c r="F4" s="90"/>
      <c r="G4" s="90"/>
      <c r="H4" s="90"/>
    </row>
    <row r="5" spans="1:8">
      <c r="A5" s="90"/>
      <c r="B5" s="90"/>
      <c r="C5" s="90"/>
      <c r="D5" s="90"/>
      <c r="E5" s="90"/>
      <c r="F5" s="90"/>
      <c r="G5" s="90"/>
      <c r="H5" s="90"/>
    </row>
    <row r="6" spans="1:8">
      <c r="A6" s="1"/>
      <c r="B6" s="1"/>
      <c r="C6" s="1"/>
      <c r="D6" s="1"/>
      <c r="E6" s="1"/>
      <c r="F6" s="1"/>
      <c r="G6" s="1"/>
      <c r="H6" s="1"/>
    </row>
    <row r="7" spans="1:8">
      <c r="A7" s="17" t="s">
        <v>34</v>
      </c>
      <c r="B7" s="18" t="s">
        <v>35</v>
      </c>
      <c r="C7" s="18"/>
      <c r="D7" s="19" t="s">
        <v>36</v>
      </c>
      <c r="E7" s="11" t="s">
        <v>37</v>
      </c>
      <c r="F7" s="1"/>
      <c r="G7" s="1"/>
      <c r="H7" s="1"/>
    </row>
    <row r="8" spans="1:8">
      <c r="A8" s="20" t="s">
        <v>38</v>
      </c>
      <c r="B8" s="1" t="s">
        <v>39</v>
      </c>
      <c r="C8" s="1"/>
      <c r="D8" s="16" t="s">
        <v>40</v>
      </c>
      <c r="E8" s="13"/>
      <c r="F8" s="1"/>
      <c r="G8" s="1"/>
      <c r="H8" s="1"/>
    </row>
    <row r="9" spans="1:8">
      <c r="A9" s="20" t="s">
        <v>41</v>
      </c>
      <c r="B9" s="1" t="s">
        <v>42</v>
      </c>
      <c r="C9" s="1"/>
      <c r="D9" s="16" t="s">
        <v>43</v>
      </c>
      <c r="E9" s="21">
        <v>46242</v>
      </c>
      <c r="F9" s="1"/>
      <c r="G9" s="1"/>
      <c r="H9" s="1"/>
    </row>
    <row r="10" spans="1:8">
      <c r="A10" s="22" t="s">
        <v>44</v>
      </c>
      <c r="B10" s="23" t="s">
        <v>45</v>
      </c>
      <c r="C10" s="23"/>
      <c r="D10" s="24" t="s">
        <v>46</v>
      </c>
      <c r="E10" s="15" t="s">
        <v>24</v>
      </c>
      <c r="F10" s="1"/>
      <c r="G10" s="1"/>
      <c r="H10" s="1"/>
    </row>
    <row r="11" spans="1:8">
      <c r="A11" s="1"/>
      <c r="B11" s="1"/>
      <c r="C11" s="1"/>
      <c r="D11" s="1"/>
      <c r="E11" s="1"/>
      <c r="F11" s="1"/>
      <c r="G11" s="1"/>
      <c r="H11" s="1"/>
    </row>
    <row r="12" spans="1:8">
      <c r="A12" s="91" t="s">
        <v>47</v>
      </c>
      <c r="B12" s="91"/>
      <c r="C12" s="91"/>
      <c r="D12" s="91"/>
      <c r="E12" s="91"/>
      <c r="F12" s="91"/>
      <c r="G12" s="91"/>
      <c r="H12" s="91"/>
    </row>
    <row r="13" spans="1:8" ht="24">
      <c r="A13" s="25" t="s">
        <v>48</v>
      </c>
      <c r="B13" s="26" t="s">
        <v>44</v>
      </c>
      <c r="C13" s="26" t="s">
        <v>49</v>
      </c>
      <c r="D13" s="26" t="s">
        <v>50</v>
      </c>
      <c r="E13" s="26" t="s">
        <v>51</v>
      </c>
      <c r="F13" s="26" t="s">
        <v>52</v>
      </c>
      <c r="G13" s="26"/>
      <c r="H13" s="27"/>
    </row>
    <row r="14" spans="1:8">
      <c r="A14" s="28">
        <v>46242</v>
      </c>
      <c r="B14" s="1" t="s">
        <v>45</v>
      </c>
      <c r="C14" s="1" t="s">
        <v>53</v>
      </c>
      <c r="D14" s="1" t="s">
        <v>53</v>
      </c>
      <c r="E14" s="1" t="s">
        <v>2877</v>
      </c>
      <c r="F14" s="1" t="s">
        <v>54</v>
      </c>
      <c r="G14" s="1"/>
      <c r="H14" s="13"/>
    </row>
    <row r="15" spans="1:8">
      <c r="A15" s="29"/>
      <c r="B15" s="1"/>
      <c r="C15" s="1"/>
      <c r="D15" s="1"/>
      <c r="E15" s="1"/>
      <c r="F15" s="1"/>
      <c r="G15" s="1"/>
      <c r="H15" s="13"/>
    </row>
    <row r="16" spans="1:8">
      <c r="A16" s="30"/>
      <c r="B16" s="23"/>
      <c r="C16" s="23"/>
      <c r="D16" s="23"/>
      <c r="E16" s="23"/>
      <c r="F16" s="23"/>
      <c r="G16" s="23"/>
      <c r="H16" s="15"/>
    </row>
    <row r="17" spans="1:8">
      <c r="A17" s="1"/>
      <c r="B17" s="1"/>
      <c r="C17" s="1"/>
      <c r="D17" s="1"/>
      <c r="E17" s="1"/>
      <c r="F17" s="1"/>
      <c r="G17" s="1"/>
      <c r="H17" s="1"/>
    </row>
    <row r="18" spans="1:8">
      <c r="A18" s="10" t="s">
        <v>21</v>
      </c>
      <c r="B18" s="11" t="s">
        <v>22</v>
      </c>
      <c r="C18" s="1"/>
      <c r="D18" s="1"/>
      <c r="E18" s="1"/>
      <c r="F18" s="1"/>
      <c r="G18" s="1"/>
      <c r="H18" s="1"/>
    </row>
    <row r="19" spans="1:8">
      <c r="A19" s="12" t="s">
        <v>25</v>
      </c>
      <c r="B19" s="13" t="s">
        <v>26</v>
      </c>
      <c r="C19" s="1"/>
      <c r="D19" s="1"/>
      <c r="E19" s="1"/>
      <c r="F19" s="1"/>
      <c r="G19" s="1"/>
      <c r="H19" s="1"/>
    </row>
    <row r="20" spans="1:8">
      <c r="A20" s="14" t="s">
        <v>55</v>
      </c>
      <c r="B20" s="15">
        <v>224</v>
      </c>
      <c r="C20" s="1"/>
      <c r="D20" s="1"/>
      <c r="E20" s="1"/>
      <c r="F20" s="1"/>
      <c r="G20" s="1"/>
      <c r="H20" s="1"/>
    </row>
    <row r="21" spans="1:8">
      <c r="A21" s="1"/>
      <c r="B21" s="1"/>
      <c r="C21" s="1"/>
      <c r="D21" s="1"/>
      <c r="E21" s="1"/>
      <c r="F21" s="1"/>
      <c r="G21" s="1"/>
      <c r="H21" s="1"/>
    </row>
    <row r="22" spans="1:8">
      <c r="A22" s="1"/>
      <c r="B22" s="1"/>
      <c r="C22" s="1"/>
      <c r="D22" s="1"/>
      <c r="E22" s="1"/>
      <c r="F22" s="1"/>
      <c r="G22" s="1"/>
      <c r="H22" s="1"/>
    </row>
    <row r="23" spans="1:8">
      <c r="A23" s="1"/>
      <c r="B23" s="1"/>
      <c r="C23" s="1"/>
      <c r="D23" s="1"/>
      <c r="E23" s="1"/>
      <c r="F23" s="1"/>
      <c r="G23" s="1"/>
      <c r="H23" s="1"/>
    </row>
    <row r="24" spans="1:8">
      <c r="A24" s="1"/>
      <c r="B24" s="1"/>
      <c r="C24" s="1"/>
      <c r="D24" s="1"/>
      <c r="E24" s="1"/>
      <c r="F24" s="1"/>
      <c r="G24" s="1"/>
      <c r="H24" s="1"/>
    </row>
    <row r="25" spans="1:8">
      <c r="A25" s="1"/>
      <c r="B25" s="1"/>
      <c r="C25" s="1"/>
      <c r="D25" s="1"/>
      <c r="E25" s="1"/>
      <c r="F25" s="1"/>
      <c r="G25" s="1"/>
      <c r="H25" s="1"/>
    </row>
    <row r="26" spans="1:8">
      <c r="A26" s="1"/>
      <c r="B26" s="1"/>
      <c r="C26" s="1"/>
      <c r="D26" s="1"/>
      <c r="E26" s="1"/>
      <c r="F26" s="1"/>
      <c r="G26" s="1"/>
      <c r="H26" s="1"/>
    </row>
    <row r="27" spans="1:8">
      <c r="A27" s="1"/>
      <c r="B27" s="1"/>
      <c r="C27" s="1"/>
      <c r="D27" s="1"/>
      <c r="E27" s="1"/>
      <c r="F27" s="1"/>
      <c r="G27" s="1"/>
      <c r="H27" s="1"/>
    </row>
    <row r="28" spans="1:8">
      <c r="A28" s="1"/>
      <c r="B28" s="1"/>
      <c r="C28" s="1"/>
      <c r="D28" s="1"/>
      <c r="E28" s="1"/>
      <c r="F28" s="1"/>
      <c r="G28" s="1"/>
      <c r="H28" s="1"/>
    </row>
    <row r="29" spans="1:8">
      <c r="A29" s="1"/>
      <c r="B29" s="1"/>
      <c r="C29" s="1"/>
      <c r="D29" s="1"/>
      <c r="E29" s="1"/>
      <c r="F29" s="1"/>
      <c r="G29" s="1"/>
      <c r="H29" s="1"/>
    </row>
    <row r="30" spans="1:8">
      <c r="A30" s="1"/>
      <c r="B30" s="1"/>
      <c r="C30" s="1"/>
      <c r="D30" s="1"/>
      <c r="E30" s="1"/>
      <c r="F30" s="1"/>
      <c r="G30" s="1"/>
      <c r="H30" s="1"/>
    </row>
  </sheetData>
  <mergeCells count="2">
    <mergeCell ref="A1:H5"/>
    <mergeCell ref="A12:H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0"/>
  <sheetViews>
    <sheetView topLeftCell="A16" workbookViewId="0">
      <selection activeCell="F23" sqref="F23"/>
    </sheetView>
  </sheetViews>
  <sheetFormatPr defaultRowHeight="13.8"/>
  <cols>
    <col min="1" max="1" width="6" customWidth="1"/>
    <col min="2" max="2" width="34" customWidth="1"/>
    <col min="3" max="3" width="22" customWidth="1"/>
    <col min="4" max="4" width="34" customWidth="1"/>
    <col min="5" max="5" width="17" customWidth="1"/>
    <col min="6" max="6" width="22" customWidth="1"/>
    <col min="7" max="7" width="58" customWidth="1"/>
    <col min="8" max="8" width="38" customWidth="1"/>
  </cols>
  <sheetData>
    <row r="1" spans="1:8">
      <c r="A1" s="1"/>
      <c r="B1" s="1"/>
      <c r="C1" s="1"/>
      <c r="D1" s="1"/>
      <c r="E1" s="1"/>
      <c r="F1" s="1"/>
      <c r="G1" s="1"/>
      <c r="H1" s="1"/>
    </row>
    <row r="2" spans="1:8" ht="22.8">
      <c r="A2" s="92" t="s">
        <v>56</v>
      </c>
      <c r="B2" s="92"/>
      <c r="C2" s="92"/>
      <c r="D2" s="92"/>
      <c r="E2" s="92"/>
      <c r="F2" s="92"/>
      <c r="G2" s="92"/>
      <c r="H2" s="92"/>
    </row>
    <row r="3" spans="1:8">
      <c r="A3" s="1"/>
      <c r="B3" s="1"/>
      <c r="C3" s="1"/>
      <c r="D3" s="1"/>
      <c r="E3" s="1"/>
      <c r="F3" s="1"/>
      <c r="G3" s="1"/>
      <c r="H3" s="1"/>
    </row>
    <row r="4" spans="1:8" ht="22.35" customHeight="1">
      <c r="A4" s="93" t="s">
        <v>34</v>
      </c>
      <c r="B4" s="94"/>
      <c r="C4" s="94"/>
      <c r="D4" s="95" t="s">
        <v>35</v>
      </c>
      <c r="E4" s="95"/>
      <c r="F4" s="95"/>
      <c r="G4" s="95"/>
      <c r="H4" s="96"/>
    </row>
    <row r="5" spans="1:8" ht="22.35" customHeight="1">
      <c r="A5" s="97" t="s">
        <v>38</v>
      </c>
      <c r="B5" s="98"/>
      <c r="C5" s="98"/>
      <c r="D5" s="99" t="s">
        <v>39</v>
      </c>
      <c r="E5" s="99"/>
      <c r="F5" s="99"/>
      <c r="G5" s="99"/>
      <c r="H5" s="100"/>
    </row>
    <row r="6" spans="1:8" ht="22.35" customHeight="1">
      <c r="A6" s="97" t="s">
        <v>57</v>
      </c>
      <c r="B6" s="98"/>
      <c r="C6" s="98"/>
      <c r="D6" s="99">
        <v>100</v>
      </c>
      <c r="E6" s="99"/>
      <c r="F6" s="99"/>
      <c r="G6" s="99"/>
      <c r="H6" s="100"/>
    </row>
    <row r="7" spans="1:8" ht="22.35" customHeight="1">
      <c r="A7" s="101" t="s">
        <v>58</v>
      </c>
      <c r="B7" s="102"/>
      <c r="C7" s="102"/>
      <c r="D7" s="103" t="s">
        <v>59</v>
      </c>
      <c r="E7" s="103"/>
      <c r="F7" s="103"/>
      <c r="G7" s="103"/>
      <c r="H7" s="104"/>
    </row>
    <row r="8" spans="1:8">
      <c r="A8" s="1"/>
      <c r="B8" s="1"/>
      <c r="C8" s="1"/>
      <c r="D8" s="1"/>
      <c r="E8" s="1"/>
      <c r="F8" s="1"/>
      <c r="G8" s="1"/>
      <c r="H8" s="1"/>
    </row>
    <row r="9" spans="1:8">
      <c r="A9" s="1"/>
      <c r="B9" s="1"/>
      <c r="C9" s="1"/>
      <c r="D9" s="1"/>
      <c r="E9" s="1"/>
      <c r="F9" s="1"/>
      <c r="G9" s="1"/>
      <c r="H9" s="1"/>
    </row>
    <row r="10" spans="1:8" ht="24">
      <c r="A10" s="32" t="s">
        <v>60</v>
      </c>
      <c r="B10" s="33" t="s">
        <v>61</v>
      </c>
      <c r="C10" s="33" t="s">
        <v>62</v>
      </c>
      <c r="D10" s="33" t="s">
        <v>63</v>
      </c>
      <c r="E10" s="33" t="s">
        <v>64</v>
      </c>
      <c r="F10" s="33" t="s">
        <v>65</v>
      </c>
      <c r="G10" s="33" t="s">
        <v>66</v>
      </c>
      <c r="H10" s="34" t="s">
        <v>67</v>
      </c>
    </row>
    <row r="11" spans="1:8" ht="36.75" customHeight="1">
      <c r="A11" s="36">
        <v>1</v>
      </c>
      <c r="B11" s="3" t="s">
        <v>68</v>
      </c>
      <c r="C11" s="3" t="s">
        <v>69</v>
      </c>
      <c r="D11" s="3" t="s">
        <v>70</v>
      </c>
      <c r="E11" s="3" t="s">
        <v>71</v>
      </c>
      <c r="F11" s="62" t="str">
        <f>HYPERLINK("#'UT01_XacThuc'!A1","UT01_XacThuc")</f>
        <v>UT01_XacThuc</v>
      </c>
      <c r="G11" s="3" t="s">
        <v>72</v>
      </c>
      <c r="H11" s="7" t="s">
        <v>73</v>
      </c>
    </row>
    <row r="12" spans="1:8" ht="36.75" customHeight="1">
      <c r="A12" s="36">
        <v>2</v>
      </c>
      <c r="B12" s="3" t="s">
        <v>74</v>
      </c>
      <c r="C12" s="3" t="s">
        <v>75</v>
      </c>
      <c r="D12" s="3" t="s">
        <v>76</v>
      </c>
      <c r="E12" s="3" t="s">
        <v>77</v>
      </c>
      <c r="F12" s="62" t="str">
        <f>HYPERLINK("#'UT02_ToChuc'!A1","UT02_ToChuc")</f>
        <v>UT02_ToChuc</v>
      </c>
      <c r="G12" s="3" t="s">
        <v>78</v>
      </c>
      <c r="H12" s="7" t="s">
        <v>79</v>
      </c>
    </row>
    <row r="13" spans="1:8" ht="36.75" customHeight="1">
      <c r="A13" s="36">
        <v>3</v>
      </c>
      <c r="B13" s="3" t="s">
        <v>80</v>
      </c>
      <c r="C13" s="3" t="s">
        <v>81</v>
      </c>
      <c r="D13" s="3" t="s">
        <v>82</v>
      </c>
      <c r="E13" s="3" t="s">
        <v>83</v>
      </c>
      <c r="F13" s="62" t="str">
        <f>HYPERLINK("#'UT03_Workspace_RBAC'!A1","UT03_Workspace_RBAC")</f>
        <v>UT03_Workspace_RBAC</v>
      </c>
      <c r="G13" s="3" t="s">
        <v>84</v>
      </c>
      <c r="H13" s="7" t="s">
        <v>85</v>
      </c>
    </row>
    <row r="14" spans="1:8" ht="36.75" customHeight="1">
      <c r="A14" s="36">
        <v>4</v>
      </c>
      <c r="B14" s="3" t="s">
        <v>86</v>
      </c>
      <c r="C14" s="3" t="s">
        <v>87</v>
      </c>
      <c r="D14" s="3" t="s">
        <v>88</v>
      </c>
      <c r="E14" s="3" t="s">
        <v>89</v>
      </c>
      <c r="F14" s="62" t="str">
        <f>HYPERLINK("#'UT04_Dashboard_DieuHuong'!A1","UT04_Dashboard_DieuHuong")</f>
        <v>UT04_Dashboard_DieuHuong</v>
      </c>
      <c r="G14" s="3" t="s">
        <v>90</v>
      </c>
      <c r="H14" s="7" t="s">
        <v>91</v>
      </c>
    </row>
    <row r="15" spans="1:8" ht="36.75" customHeight="1">
      <c r="A15" s="36">
        <v>5</v>
      </c>
      <c r="B15" s="3" t="s">
        <v>92</v>
      </c>
      <c r="C15" s="3" t="s">
        <v>93</v>
      </c>
      <c r="D15" s="3" t="s">
        <v>94</v>
      </c>
      <c r="E15" s="3" t="s">
        <v>95</v>
      </c>
      <c r="F15" s="62" t="str">
        <f>HYPERLINK("#'UT05_Survey_ThuCong'!A1","UT05_Survey_ThuCong")</f>
        <v>UT05_Survey_ThuCong</v>
      </c>
      <c r="G15" s="3" t="s">
        <v>96</v>
      </c>
      <c r="H15" s="7" t="s">
        <v>97</v>
      </c>
    </row>
    <row r="16" spans="1:8" ht="36.75" customHeight="1">
      <c r="A16" s="36">
        <v>6</v>
      </c>
      <c r="B16" s="3" t="s">
        <v>98</v>
      </c>
      <c r="C16" s="3" t="s">
        <v>99</v>
      </c>
      <c r="D16" s="3" t="s">
        <v>100</v>
      </c>
      <c r="E16" s="3" t="s">
        <v>101</v>
      </c>
      <c r="F16" s="62" t="str">
        <f>HYPERLINK("#'UT06_Import_CSV_XLSX'!A1","UT06_Import_CSV_XLSX")</f>
        <v>UT06_Import_CSV_XLSX</v>
      </c>
      <c r="G16" s="3" t="s">
        <v>102</v>
      </c>
      <c r="H16" s="7" t="s">
        <v>103</v>
      </c>
    </row>
    <row r="17" spans="1:8" ht="36.75" customHeight="1">
      <c r="A17" s="36">
        <v>7</v>
      </c>
      <c r="B17" s="3" t="s">
        <v>104</v>
      </c>
      <c r="C17" s="3" t="s">
        <v>105</v>
      </c>
      <c r="D17" s="3" t="s">
        <v>106</v>
      </c>
      <c r="E17" s="3" t="s">
        <v>107</v>
      </c>
      <c r="F17" s="62" t="str">
        <f>HYPERLINK("#'UT07_TestBank_Adaptive'!A1","UT07_TestBank_Adaptive")</f>
        <v>UT07_TestBank_Adaptive</v>
      </c>
      <c r="G17" s="3" t="s">
        <v>108</v>
      </c>
      <c r="H17" s="7" t="s">
        <v>109</v>
      </c>
    </row>
    <row r="18" spans="1:8" ht="36.75" customHeight="1">
      <c r="A18" s="36">
        <v>8</v>
      </c>
      <c r="B18" s="3" t="s">
        <v>110</v>
      </c>
      <c r="C18" s="3" t="s">
        <v>111</v>
      </c>
      <c r="D18" s="3" t="s">
        <v>112</v>
      </c>
      <c r="E18" s="3" t="s">
        <v>113</v>
      </c>
      <c r="F18" s="62" t="str">
        <f>HYPERLINK("#'UT08_PhanHoi'!A1","UT08_PhanHoi")</f>
        <v>UT08_PhanHoi</v>
      </c>
      <c r="G18" s="3" t="s">
        <v>114</v>
      </c>
      <c r="H18" s="7" t="s">
        <v>115</v>
      </c>
    </row>
    <row r="19" spans="1:8" ht="36.75" customHeight="1">
      <c r="A19" s="36">
        <v>9</v>
      </c>
      <c r="B19" s="3" t="s">
        <v>116</v>
      </c>
      <c r="C19" s="3" t="s">
        <v>117</v>
      </c>
      <c r="D19" s="3" t="s">
        <v>118</v>
      </c>
      <c r="E19" s="3" t="s">
        <v>119</v>
      </c>
      <c r="F19" s="62" t="str">
        <f>HYPERLINK("#'UT09_PhanTich_Insights'!A1","UT09_PhanTich_Insights")</f>
        <v>UT09_PhanTich_Insights</v>
      </c>
      <c r="G19" s="3" t="s">
        <v>120</v>
      </c>
      <c r="H19" s="7" t="s">
        <v>121</v>
      </c>
    </row>
    <row r="20" spans="1:8" ht="36.75" customHeight="1">
      <c r="A20" s="36">
        <v>10</v>
      </c>
      <c r="B20" s="3" t="s">
        <v>122</v>
      </c>
      <c r="C20" s="3" t="s">
        <v>123</v>
      </c>
      <c r="D20" s="3" t="s">
        <v>124</v>
      </c>
      <c r="E20" s="3" t="s">
        <v>125</v>
      </c>
      <c r="F20" s="62" t="str">
        <f>HYPERLINK("#'UT10_AI_TaoSurvey'!A1","UT10_AI_TaoSurvey")</f>
        <v>UT10_AI_TaoSurvey</v>
      </c>
      <c r="G20" s="3" t="s">
        <v>126</v>
      </c>
      <c r="H20" s="7" t="s">
        <v>127</v>
      </c>
    </row>
    <row r="21" spans="1:8" ht="36.75" customHeight="1">
      <c r="A21" s="36">
        <v>11</v>
      </c>
      <c r="B21" s="3" t="s">
        <v>128</v>
      </c>
      <c r="C21" s="3" t="s">
        <v>129</v>
      </c>
      <c r="D21" s="3" t="s">
        <v>130</v>
      </c>
      <c r="E21" s="3" t="s">
        <v>131</v>
      </c>
      <c r="F21" s="62" t="str">
        <f>HYPERLINK("#'UT11_AI_Dich'!A1","UT11_AI_Dich")</f>
        <v>UT11_AI_Dich</v>
      </c>
      <c r="G21" s="3" t="s">
        <v>132</v>
      </c>
      <c r="H21" s="7" t="s">
        <v>133</v>
      </c>
    </row>
    <row r="22" spans="1:8" ht="36.75" customHeight="1">
      <c r="A22" s="36">
        <v>12</v>
      </c>
      <c r="B22" s="3" t="s">
        <v>134</v>
      </c>
      <c r="C22" s="3" t="s">
        <v>135</v>
      </c>
      <c r="D22" s="3" t="s">
        <v>136</v>
      </c>
      <c r="E22" s="3" t="s">
        <v>137</v>
      </c>
      <c r="F22" s="62" t="str">
        <f>HYPERLINK("#'UT12_AI_Sentiment'!A1","UT12_AI_Sentiment")</f>
        <v>UT12_AI_Sentiment</v>
      </c>
      <c r="G22" s="3" t="s">
        <v>138</v>
      </c>
      <c r="H22" s="7" t="s">
        <v>139</v>
      </c>
    </row>
    <row r="23" spans="1:8" ht="36.75" customHeight="1">
      <c r="A23" s="36">
        <v>13</v>
      </c>
      <c r="B23" s="3" t="s">
        <v>140</v>
      </c>
      <c r="C23" s="3" t="s">
        <v>141</v>
      </c>
      <c r="D23" s="3" t="s">
        <v>142</v>
      </c>
      <c r="E23" s="3" t="s">
        <v>143</v>
      </c>
      <c r="F23" s="62" t="str">
        <f>HYPERLINK("#'UT13_AI_TopicTree'!A1","UT13_AI_TopicTree")</f>
        <v>UT13_AI_TopicTree</v>
      </c>
      <c r="G23" s="3" t="s">
        <v>144</v>
      </c>
      <c r="H23" s="7" t="s">
        <v>145</v>
      </c>
    </row>
    <row r="24" spans="1:8" ht="36.75" customHeight="1">
      <c r="A24" s="36">
        <v>14</v>
      </c>
      <c r="B24" s="3" t="s">
        <v>146</v>
      </c>
      <c r="C24" s="3" t="s">
        <v>147</v>
      </c>
      <c r="D24" s="3" t="s">
        <v>148</v>
      </c>
      <c r="E24" s="3" t="s">
        <v>149</v>
      </c>
      <c r="F24" s="62" t="str">
        <f>HYPERLINK("#'UT14_AI_ResultChat'!A1","UT14_AI_ResultChat")</f>
        <v>UT14_AI_ResultChat</v>
      </c>
      <c r="G24" s="3" t="s">
        <v>150</v>
      </c>
      <c r="H24" s="7" t="s">
        <v>151</v>
      </c>
    </row>
    <row r="25" spans="1:8" ht="36.75" customHeight="1">
      <c r="A25" s="36">
        <v>15</v>
      </c>
      <c r="B25" s="3" t="s">
        <v>152</v>
      </c>
      <c r="C25" s="3" t="s">
        <v>153</v>
      </c>
      <c r="D25" s="3" t="s">
        <v>154</v>
      </c>
      <c r="E25" s="3" t="s">
        <v>155</v>
      </c>
      <c r="F25" s="62" t="str">
        <f>HYPERLINK("#'UT15_TichHop'!A1","UT15_TichHop")</f>
        <v>UT15_TichHop</v>
      </c>
      <c r="G25" s="3" t="s">
        <v>156</v>
      </c>
      <c r="H25" s="7" t="s">
        <v>157</v>
      </c>
    </row>
    <row r="26" spans="1:8" ht="36.75" customHeight="1">
      <c r="A26" s="36">
        <v>16</v>
      </c>
      <c r="B26" s="3" t="s">
        <v>158</v>
      </c>
      <c r="C26" s="3" t="s">
        <v>159</v>
      </c>
      <c r="D26" s="3" t="s">
        <v>160</v>
      </c>
      <c r="E26" s="3" t="s">
        <v>161</v>
      </c>
      <c r="F26" s="62" t="str">
        <f>HYPERLINK("#'UT16_API'!A1","UT16_API")</f>
        <v>UT16_API</v>
      </c>
      <c r="G26" s="3" t="s">
        <v>162</v>
      </c>
      <c r="H26" s="7" t="s">
        <v>163</v>
      </c>
    </row>
    <row r="27" spans="1:8" ht="36.75" customHeight="1">
      <c r="A27" s="37">
        <v>17</v>
      </c>
      <c r="B27" s="38" t="s">
        <v>164</v>
      </c>
      <c r="C27" s="38" t="s">
        <v>165</v>
      </c>
      <c r="D27" s="38" t="s">
        <v>166</v>
      </c>
      <c r="E27" s="38" t="s">
        <v>167</v>
      </c>
      <c r="F27" s="63" t="str">
        <f>HYPERLINK("#'UT17_LuuTru_Email'!A1","UT17_LuuTru_Email")</f>
        <v>UT17_LuuTru_Email</v>
      </c>
      <c r="G27" s="38" t="s">
        <v>168</v>
      </c>
      <c r="H27" s="9" t="s">
        <v>169</v>
      </c>
    </row>
    <row r="28" spans="1:8">
      <c r="A28" s="1"/>
      <c r="B28" s="1"/>
      <c r="C28" s="1"/>
      <c r="D28" s="1"/>
      <c r="E28" s="1"/>
      <c r="F28" s="1"/>
      <c r="G28" s="1"/>
      <c r="H28" s="1"/>
    </row>
    <row r="29" spans="1:8">
      <c r="A29" s="1"/>
      <c r="B29" s="1"/>
      <c r="C29" s="1"/>
      <c r="D29" s="1"/>
      <c r="E29" s="1"/>
      <c r="F29" s="1"/>
      <c r="G29" s="1"/>
      <c r="H29" s="1"/>
    </row>
    <row r="30" spans="1:8">
      <c r="A30" s="1"/>
      <c r="B30" s="1"/>
      <c r="C30" s="1"/>
      <c r="D30" s="1"/>
      <c r="E30" s="1"/>
      <c r="F30" s="1"/>
      <c r="G30" s="1"/>
      <c r="H30" s="1"/>
    </row>
    <row r="31" spans="1:8">
      <c r="A31" s="1"/>
      <c r="B31" s="1"/>
      <c r="C31" s="1"/>
      <c r="D31" s="1"/>
      <c r="E31" s="1"/>
      <c r="F31" s="1"/>
      <c r="G31" s="1"/>
      <c r="H31" s="1"/>
    </row>
    <row r="32" spans="1:8">
      <c r="A32" s="1"/>
      <c r="B32" s="1"/>
      <c r="C32" s="1"/>
      <c r="D32" s="1"/>
      <c r="E32" s="1"/>
      <c r="F32" s="1"/>
      <c r="G32" s="1"/>
      <c r="H32" s="1"/>
    </row>
    <row r="33" spans="1:8">
      <c r="A33" s="1"/>
      <c r="B33" s="1"/>
      <c r="C33" s="1"/>
      <c r="D33" s="1"/>
      <c r="E33" s="1"/>
      <c r="F33" s="1"/>
      <c r="G33" s="1"/>
      <c r="H33" s="1"/>
    </row>
    <row r="34" spans="1:8">
      <c r="A34" s="1"/>
      <c r="B34" s="1"/>
      <c r="C34" s="1"/>
      <c r="D34" s="1"/>
      <c r="E34" s="1"/>
      <c r="F34" s="1"/>
      <c r="G34" s="1"/>
      <c r="H34" s="1"/>
    </row>
    <row r="35" spans="1:8">
      <c r="A35" s="1"/>
      <c r="B35" s="1"/>
      <c r="C35" s="1"/>
      <c r="D35" s="1"/>
      <c r="E35" s="1"/>
      <c r="F35" s="1"/>
      <c r="G35" s="1"/>
      <c r="H35" s="1"/>
    </row>
    <row r="36" spans="1:8">
      <c r="A36" s="1"/>
      <c r="B36" s="1"/>
      <c r="C36" s="1"/>
      <c r="D36" s="1"/>
      <c r="E36" s="1"/>
      <c r="F36" s="1"/>
      <c r="G36" s="1"/>
      <c r="H36" s="1"/>
    </row>
    <row r="37" spans="1:8">
      <c r="A37" s="1"/>
      <c r="B37" s="1"/>
      <c r="C37" s="1"/>
      <c r="D37" s="1"/>
      <c r="E37" s="1"/>
      <c r="F37" s="1"/>
      <c r="G37" s="1"/>
      <c r="H37" s="1"/>
    </row>
    <row r="38" spans="1:8">
      <c r="A38" s="1"/>
      <c r="B38" s="1"/>
      <c r="C38" s="1"/>
      <c r="D38" s="1"/>
      <c r="E38" s="1"/>
      <c r="F38" s="1"/>
      <c r="G38" s="1"/>
      <c r="H38" s="1"/>
    </row>
    <row r="39" spans="1:8">
      <c r="A39" s="1"/>
      <c r="B39" s="1"/>
      <c r="C39" s="1"/>
      <c r="D39" s="1"/>
      <c r="E39" s="1"/>
      <c r="F39" s="1"/>
      <c r="G39" s="1"/>
      <c r="H39" s="1"/>
    </row>
    <row r="40" spans="1:8">
      <c r="A40" s="1"/>
      <c r="B40" s="1"/>
      <c r="C40" s="1"/>
      <c r="D40" s="1"/>
      <c r="E40" s="1"/>
      <c r="F40" s="1"/>
      <c r="G40" s="1"/>
      <c r="H40" s="1"/>
    </row>
  </sheetData>
  <mergeCells count="9">
    <mergeCell ref="A6:C6"/>
    <mergeCell ref="D6:H6"/>
    <mergeCell ref="A7:C7"/>
    <mergeCell ref="D7:H7"/>
    <mergeCell ref="A2:H2"/>
    <mergeCell ref="A4:C4"/>
    <mergeCell ref="D4:H4"/>
    <mergeCell ref="A5:C5"/>
    <mergeCell ref="D5:H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5"/>
  <sheetViews>
    <sheetView topLeftCell="A31" workbookViewId="0">
      <selection activeCell="B16" sqref="B16"/>
    </sheetView>
  </sheetViews>
  <sheetFormatPr defaultRowHeight="13.8"/>
  <cols>
    <col min="1" max="1" width="7" customWidth="1"/>
    <col min="2" max="2" width="20" customWidth="1"/>
    <col min="3" max="5" width="10" customWidth="1"/>
    <col min="6" max="6" width="11" customWidth="1"/>
    <col min="7" max="9" width="8" customWidth="1"/>
    <col min="10" max="10" width="13" customWidth="1"/>
    <col min="11" max="11" width="12" customWidth="1"/>
    <col min="13" max="13" width="15" customWidth="1"/>
    <col min="14" max="14" width="12" customWidth="1"/>
  </cols>
  <sheetData>
    <row r="1" spans="1:14">
      <c r="A1" s="1"/>
      <c r="B1" s="1"/>
      <c r="C1" s="1"/>
      <c r="D1" s="1"/>
      <c r="E1" s="1"/>
      <c r="F1" s="1"/>
      <c r="G1" s="1"/>
      <c r="H1" s="1"/>
      <c r="I1" s="1"/>
      <c r="J1" s="1"/>
      <c r="K1" s="1"/>
      <c r="L1" s="1"/>
      <c r="M1" s="1"/>
      <c r="N1" s="1"/>
    </row>
    <row r="2" spans="1:14" ht="25.65" customHeight="1">
      <c r="A2" s="92" t="s">
        <v>170</v>
      </c>
      <c r="B2" s="92"/>
      <c r="C2" s="92"/>
      <c r="D2" s="92"/>
      <c r="E2" s="92"/>
      <c r="F2" s="92"/>
      <c r="G2" s="92"/>
      <c r="H2" s="92"/>
      <c r="I2" s="92"/>
      <c r="J2" s="92"/>
      <c r="K2" s="92"/>
      <c r="L2" s="1"/>
      <c r="M2" s="1"/>
      <c r="N2" s="1"/>
    </row>
    <row r="3" spans="1:14">
      <c r="A3" s="1"/>
      <c r="B3" s="1"/>
      <c r="C3" s="1"/>
      <c r="D3" s="1"/>
      <c r="E3" s="1"/>
      <c r="F3" s="1"/>
      <c r="G3" s="1"/>
      <c r="H3" s="1"/>
      <c r="I3" s="1"/>
      <c r="J3" s="1"/>
      <c r="K3" s="1"/>
      <c r="L3" s="1"/>
      <c r="M3" s="1" t="s">
        <v>171</v>
      </c>
      <c r="N3" s="1" t="s">
        <v>172</v>
      </c>
    </row>
    <row r="4" spans="1:14" ht="22.35" customHeight="1">
      <c r="A4" s="107" t="s">
        <v>34</v>
      </c>
      <c r="B4" s="108" t="s">
        <v>35</v>
      </c>
      <c r="C4" s="95" t="s">
        <v>35</v>
      </c>
      <c r="D4" s="108" t="s">
        <v>36</v>
      </c>
      <c r="E4" s="96" t="s">
        <v>37</v>
      </c>
      <c r="F4" s="108" t="s">
        <v>36</v>
      </c>
      <c r="G4" s="108"/>
      <c r="H4" s="95" t="s">
        <v>37</v>
      </c>
      <c r="I4" s="95"/>
      <c r="J4" s="95"/>
      <c r="K4" s="96"/>
      <c r="L4" s="1"/>
      <c r="M4" s="1" t="s">
        <v>173</v>
      </c>
      <c r="N4" s="1">
        <f>C30</f>
        <v>1</v>
      </c>
    </row>
    <row r="5" spans="1:14" ht="22.35" customHeight="1">
      <c r="A5" s="109" t="s">
        <v>38</v>
      </c>
      <c r="B5" s="110" t="s">
        <v>39</v>
      </c>
      <c r="C5" s="99" t="s">
        <v>39</v>
      </c>
      <c r="D5" s="110" t="s">
        <v>40</v>
      </c>
      <c r="E5" s="100"/>
      <c r="F5" s="110" t="s">
        <v>40</v>
      </c>
      <c r="G5" s="110"/>
      <c r="H5" s="99"/>
      <c r="I5" s="99"/>
      <c r="J5" s="99"/>
      <c r="K5" s="100"/>
      <c r="L5" s="1"/>
      <c r="M5" s="1" t="s">
        <v>174</v>
      </c>
      <c r="N5" s="1">
        <f>D30</f>
        <v>1</v>
      </c>
    </row>
    <row r="6" spans="1:14" ht="22.35" customHeight="1">
      <c r="A6" s="109" t="s">
        <v>41</v>
      </c>
      <c r="B6" s="110" t="s">
        <v>42</v>
      </c>
      <c r="C6" s="99" t="s">
        <v>42</v>
      </c>
      <c r="D6" s="110" t="s">
        <v>43</v>
      </c>
      <c r="E6" s="111">
        <v>46242</v>
      </c>
      <c r="F6" s="110" t="s">
        <v>43</v>
      </c>
      <c r="G6" s="110"/>
      <c r="H6" s="112">
        <v>46242</v>
      </c>
      <c r="I6" s="99"/>
      <c r="J6" s="99"/>
      <c r="K6" s="100"/>
      <c r="L6" s="1"/>
      <c r="M6" s="1" t="s">
        <v>175</v>
      </c>
      <c r="N6" s="1">
        <f>E30</f>
        <v>1</v>
      </c>
    </row>
    <row r="7" spans="1:14" ht="22.35" customHeight="1">
      <c r="A7" s="109" t="s">
        <v>176</v>
      </c>
      <c r="B7" s="110" t="s">
        <v>177</v>
      </c>
      <c r="C7" s="99" t="s">
        <v>177</v>
      </c>
      <c r="D7" s="110" t="s">
        <v>178</v>
      </c>
      <c r="E7" s="100" t="s">
        <v>179</v>
      </c>
      <c r="F7" s="110" t="s">
        <v>178</v>
      </c>
      <c r="G7" s="110"/>
      <c r="H7" s="99" t="s">
        <v>179</v>
      </c>
      <c r="I7" s="99"/>
      <c r="J7" s="99"/>
      <c r="K7" s="100"/>
      <c r="L7" s="1"/>
      <c r="M7" s="1" t="s">
        <v>180</v>
      </c>
      <c r="N7" s="1">
        <f>F30</f>
        <v>221</v>
      </c>
    </row>
    <row r="8" spans="1:14" ht="22.35" customHeight="1">
      <c r="A8" s="113" t="s">
        <v>46</v>
      </c>
      <c r="B8" s="114" t="s">
        <v>24</v>
      </c>
      <c r="C8" s="103" t="s">
        <v>24</v>
      </c>
      <c r="D8" s="114" t="s">
        <v>21</v>
      </c>
      <c r="E8" s="104" t="s">
        <v>22</v>
      </c>
      <c r="F8" s="114" t="s">
        <v>21</v>
      </c>
      <c r="G8" s="114"/>
      <c r="H8" s="103" t="s">
        <v>22</v>
      </c>
      <c r="I8" s="103"/>
      <c r="J8" s="103"/>
      <c r="K8" s="104"/>
      <c r="L8" s="1"/>
      <c r="M8" s="1" t="s">
        <v>181</v>
      </c>
      <c r="N8" s="1">
        <f>J30</f>
        <v>224</v>
      </c>
    </row>
    <row r="9" spans="1:14">
      <c r="A9" s="1"/>
      <c r="B9" s="1"/>
      <c r="C9" s="1"/>
      <c r="D9" s="1"/>
      <c r="E9" s="1"/>
      <c r="F9" s="1"/>
      <c r="G9" s="1"/>
      <c r="H9" s="1"/>
      <c r="I9" s="1"/>
      <c r="J9" s="1"/>
      <c r="K9" s="1"/>
      <c r="L9" s="1"/>
      <c r="M9" s="1"/>
      <c r="N9" s="1"/>
    </row>
    <row r="10" spans="1:14">
      <c r="A10" s="1"/>
      <c r="B10" s="1"/>
      <c r="C10" s="1"/>
      <c r="D10" s="1"/>
      <c r="E10" s="1"/>
      <c r="F10" s="1"/>
      <c r="G10" s="1"/>
      <c r="H10" s="1"/>
      <c r="I10" s="1"/>
      <c r="J10" s="1"/>
      <c r="K10" s="1"/>
      <c r="L10" s="1"/>
      <c r="M10" s="1" t="s">
        <v>182</v>
      </c>
      <c r="N10" s="1" t="s">
        <v>172</v>
      </c>
    </row>
    <row r="11" spans="1:14">
      <c r="A11" s="25" t="s">
        <v>60</v>
      </c>
      <c r="B11" s="26" t="s">
        <v>183</v>
      </c>
      <c r="C11" s="26" t="s">
        <v>173</v>
      </c>
      <c r="D11" s="26" t="s">
        <v>174</v>
      </c>
      <c r="E11" s="26" t="s">
        <v>175</v>
      </c>
      <c r="F11" s="26" t="s">
        <v>180</v>
      </c>
      <c r="G11" s="26" t="s">
        <v>184</v>
      </c>
      <c r="H11" s="26" t="s">
        <v>185</v>
      </c>
      <c r="I11" s="26" t="s">
        <v>186</v>
      </c>
      <c r="J11" s="26" t="s">
        <v>187</v>
      </c>
      <c r="K11" s="27" t="s">
        <v>188</v>
      </c>
      <c r="L11" s="1"/>
      <c r="M11" s="1" t="s">
        <v>189</v>
      </c>
      <c r="N11" s="1">
        <f>G30</f>
        <v>112</v>
      </c>
    </row>
    <row r="12" spans="1:14">
      <c r="A12" s="29">
        <v>1</v>
      </c>
      <c r="B12" s="64" t="str">
        <f>HYPERLINK("#'UT01_XacThuc'!A1","AUTH-001")</f>
        <v>AUTH-001</v>
      </c>
      <c r="C12" s="1">
        <f>UT01_XacThuc!A7</f>
        <v>1</v>
      </c>
      <c r="D12" s="1">
        <f>UT01_XacThuc!C7</f>
        <v>1</v>
      </c>
      <c r="E12" s="1">
        <f>UT01_XacThuc!E7</f>
        <v>1</v>
      </c>
      <c r="F12" s="1">
        <f>UT01_XacThuc!G7</f>
        <v>9</v>
      </c>
      <c r="G12" s="1">
        <f>UT01_XacThuc!I7</f>
        <v>5</v>
      </c>
      <c r="H12" s="1">
        <f>UT01_XacThuc!K7</f>
        <v>5</v>
      </c>
      <c r="I12" s="1">
        <f>UT01_XacThuc!M7</f>
        <v>2</v>
      </c>
      <c r="J12" s="1">
        <f>UT01_XacThuc!O7</f>
        <v>12</v>
      </c>
      <c r="K12" s="53">
        <f t="shared" ref="K12:K28" si="0">IF(J12=0,0,(C12+D12+E12)/J12)</f>
        <v>0.25</v>
      </c>
      <c r="L12" s="1"/>
      <c r="M12" s="1" t="s">
        <v>190</v>
      </c>
      <c r="N12" s="1">
        <f>H30</f>
        <v>72</v>
      </c>
    </row>
    <row r="13" spans="1:14">
      <c r="A13" s="29">
        <v>2</v>
      </c>
      <c r="B13" s="64" t="str">
        <f>HYPERLINK("#'UT02_ToChuc'!A1","ORG-001")</f>
        <v>ORG-001</v>
      </c>
      <c r="C13" s="1">
        <f>UT02_ToChuc!A7</f>
        <v>0</v>
      </c>
      <c r="D13" s="1">
        <f>UT02_ToChuc!C7</f>
        <v>0</v>
      </c>
      <c r="E13" s="1">
        <f>UT02_ToChuc!E7</f>
        <v>0</v>
      </c>
      <c r="F13" s="1">
        <f>UT02_ToChuc!G7</f>
        <v>12</v>
      </c>
      <c r="G13" s="1">
        <f>UT02_ToChuc!I7</f>
        <v>7</v>
      </c>
      <c r="H13" s="1">
        <f>UT02_ToChuc!K7</f>
        <v>5</v>
      </c>
      <c r="I13" s="1">
        <f>UT02_ToChuc!M7</f>
        <v>0</v>
      </c>
      <c r="J13" s="1">
        <f>UT02_ToChuc!O7</f>
        <v>12</v>
      </c>
      <c r="K13" s="53">
        <f t="shared" si="0"/>
        <v>0</v>
      </c>
      <c r="L13" s="1"/>
      <c r="M13" s="1" t="s">
        <v>191</v>
      </c>
      <c r="N13" s="1">
        <f>I30</f>
        <v>40</v>
      </c>
    </row>
    <row r="14" spans="1:14">
      <c r="A14" s="29">
        <v>3</v>
      </c>
      <c r="B14" s="64" t="str">
        <f>HYPERLINK("#'UT03_Workspace_RBAC'!A1","WKSP-001")</f>
        <v>WKSP-001</v>
      </c>
      <c r="C14" s="1">
        <f>UT03_Workspace_RBAC!A7</f>
        <v>0</v>
      </c>
      <c r="D14" s="1">
        <f>UT03_Workspace_RBAC!C7</f>
        <v>0</v>
      </c>
      <c r="E14" s="1">
        <f>UT03_Workspace_RBAC!E7</f>
        <v>0</v>
      </c>
      <c r="F14" s="1">
        <f>UT03_Workspace_RBAC!G7</f>
        <v>15</v>
      </c>
      <c r="G14" s="1">
        <f>UT03_Workspace_RBAC!I7</f>
        <v>9</v>
      </c>
      <c r="H14" s="1">
        <f>UT03_Workspace_RBAC!K7</f>
        <v>4</v>
      </c>
      <c r="I14" s="1">
        <f>UT03_Workspace_RBAC!M7</f>
        <v>2</v>
      </c>
      <c r="J14" s="1">
        <f>UT03_Workspace_RBAC!O7</f>
        <v>15</v>
      </c>
      <c r="K14" s="53">
        <f t="shared" si="0"/>
        <v>0</v>
      </c>
      <c r="L14" s="1"/>
      <c r="M14" s="1"/>
      <c r="N14" s="1"/>
    </row>
    <row r="15" spans="1:14">
      <c r="A15" s="29">
        <v>4</v>
      </c>
      <c r="B15" s="64" t="str">
        <f>HYPERLINK("#'UT04_Dashboard_DieuHuong'!A1","NAV-001")</f>
        <v>NAV-001</v>
      </c>
      <c r="C15" s="1">
        <f>UT04_Dashboard_DieuHuong!A7</f>
        <v>0</v>
      </c>
      <c r="D15" s="1">
        <f>UT04_Dashboard_DieuHuong!C7</f>
        <v>0</v>
      </c>
      <c r="E15" s="1">
        <f>UT04_Dashboard_DieuHuong!E7</f>
        <v>0</v>
      </c>
      <c r="F15" s="1">
        <f>UT04_Dashboard_DieuHuong!G7</f>
        <v>10</v>
      </c>
      <c r="G15" s="1">
        <f>UT04_Dashboard_DieuHuong!I7</f>
        <v>5</v>
      </c>
      <c r="H15" s="1">
        <f>UT04_Dashboard_DieuHuong!K7</f>
        <v>1</v>
      </c>
      <c r="I15" s="1">
        <f>UT04_Dashboard_DieuHuong!M7</f>
        <v>4</v>
      </c>
      <c r="J15" s="1">
        <f>UT04_Dashboard_DieuHuong!O7</f>
        <v>10</v>
      </c>
      <c r="K15" s="53">
        <f t="shared" si="0"/>
        <v>0</v>
      </c>
      <c r="L15" s="1"/>
      <c r="M15" s="1"/>
      <c r="N15" s="1"/>
    </row>
    <row r="16" spans="1:14">
      <c r="A16" s="29">
        <v>5</v>
      </c>
      <c r="B16" s="64" t="str">
        <f>HYPERLINK("#'UT05_Survey_ThuCong'!A1","SURV-001")</f>
        <v>SURV-001</v>
      </c>
      <c r="C16" s="1">
        <f>UT05_Survey_ThuCong!A7</f>
        <v>0</v>
      </c>
      <c r="D16" s="1">
        <f>UT05_Survey_ThuCong!C7</f>
        <v>0</v>
      </c>
      <c r="E16" s="1">
        <f>UT05_Survey_ThuCong!E7</f>
        <v>0</v>
      </c>
      <c r="F16" s="1">
        <f>UT05_Survey_ThuCong!G7</f>
        <v>15</v>
      </c>
      <c r="G16" s="1">
        <f>UT05_Survey_ThuCong!I7</f>
        <v>13</v>
      </c>
      <c r="H16" s="1">
        <f>UT05_Survey_ThuCong!K7</f>
        <v>2</v>
      </c>
      <c r="I16" s="1">
        <f>UT05_Survey_ThuCong!M7</f>
        <v>0</v>
      </c>
      <c r="J16" s="1">
        <f>UT05_Survey_ThuCong!O7</f>
        <v>15</v>
      </c>
      <c r="K16" s="53">
        <f t="shared" si="0"/>
        <v>0</v>
      </c>
      <c r="L16" s="1"/>
      <c r="M16" s="1"/>
      <c r="N16" s="1"/>
    </row>
    <row r="17" spans="1:14">
      <c r="A17" s="29">
        <v>6</v>
      </c>
      <c r="B17" s="64" t="str">
        <f>HYPERLINK("#'UT06_Import_CSV_XLSX'!A1","IMP-001")</f>
        <v>IMP-001</v>
      </c>
      <c r="C17" s="1">
        <f>UT06_Import_CSV_XLSX!A7</f>
        <v>0</v>
      </c>
      <c r="D17" s="1">
        <f>UT06_Import_CSV_XLSX!C7</f>
        <v>0</v>
      </c>
      <c r="E17" s="1">
        <f>UT06_Import_CSV_XLSX!E7</f>
        <v>0</v>
      </c>
      <c r="F17" s="1">
        <f>UT06_Import_CSV_XLSX!G7</f>
        <v>15</v>
      </c>
      <c r="G17" s="1">
        <f>UT06_Import_CSV_XLSX!I7</f>
        <v>5</v>
      </c>
      <c r="H17" s="1">
        <f>UT06_Import_CSV_XLSX!K7</f>
        <v>7</v>
      </c>
      <c r="I17" s="1">
        <f>UT06_Import_CSV_XLSX!M7</f>
        <v>3</v>
      </c>
      <c r="J17" s="1">
        <f>UT06_Import_CSV_XLSX!O7</f>
        <v>15</v>
      </c>
      <c r="K17" s="53">
        <f t="shared" si="0"/>
        <v>0</v>
      </c>
      <c r="L17" s="1"/>
      <c r="M17" s="1"/>
      <c r="N17" s="1"/>
    </row>
    <row r="18" spans="1:14">
      <c r="A18" s="29">
        <v>7</v>
      </c>
      <c r="B18" s="64" t="str">
        <f>HYPERLINK("#'UT07_TestBank_Adaptive'!A1","TB-001")</f>
        <v>TB-001</v>
      </c>
      <c r="C18" s="1">
        <f>UT07_TestBank_Adaptive!A7</f>
        <v>0</v>
      </c>
      <c r="D18" s="1">
        <f>UT07_TestBank_Adaptive!C7</f>
        <v>0</v>
      </c>
      <c r="E18" s="1">
        <f>UT07_TestBank_Adaptive!E7</f>
        <v>0</v>
      </c>
      <c r="F18" s="1">
        <f>UT07_TestBank_Adaptive!G7</f>
        <v>15</v>
      </c>
      <c r="G18" s="1">
        <f>UT07_TestBank_Adaptive!I7</f>
        <v>10</v>
      </c>
      <c r="H18" s="1">
        <f>UT07_TestBank_Adaptive!K7</f>
        <v>2</v>
      </c>
      <c r="I18" s="1">
        <f>UT07_TestBank_Adaptive!M7</f>
        <v>3</v>
      </c>
      <c r="J18" s="1">
        <f>UT07_TestBank_Adaptive!O7</f>
        <v>15</v>
      </c>
      <c r="K18" s="53">
        <f t="shared" si="0"/>
        <v>0</v>
      </c>
      <c r="L18" s="1"/>
      <c r="M18" s="1"/>
      <c r="N18" s="1"/>
    </row>
    <row r="19" spans="1:14">
      <c r="A19" s="29">
        <v>8</v>
      </c>
      <c r="B19" s="64" t="str">
        <f>HYPERLINK("#'UT08_PhanHoi'!A1","RESP-001")</f>
        <v>RESP-001</v>
      </c>
      <c r="C19" s="1">
        <f>UT08_PhanHoi!A7</f>
        <v>0</v>
      </c>
      <c r="D19" s="1">
        <f>UT08_PhanHoi!C7</f>
        <v>0</v>
      </c>
      <c r="E19" s="1">
        <f>UT08_PhanHoi!E7</f>
        <v>0</v>
      </c>
      <c r="F19" s="1">
        <f>UT08_PhanHoi!G7</f>
        <v>15</v>
      </c>
      <c r="G19" s="1">
        <f>UT08_PhanHoi!I7</f>
        <v>7</v>
      </c>
      <c r="H19" s="1">
        <f>UT08_PhanHoi!K7</f>
        <v>4</v>
      </c>
      <c r="I19" s="1">
        <f>UT08_PhanHoi!M7</f>
        <v>4</v>
      </c>
      <c r="J19" s="1">
        <f>UT08_PhanHoi!O7</f>
        <v>15</v>
      </c>
      <c r="K19" s="53">
        <f t="shared" si="0"/>
        <v>0</v>
      </c>
      <c r="L19" s="1"/>
      <c r="M19" s="1"/>
      <c r="N19" s="1"/>
    </row>
    <row r="20" spans="1:14">
      <c r="A20" s="29">
        <v>9</v>
      </c>
      <c r="B20" s="64" t="str">
        <f>HYPERLINK("#'UT09_PhanTich_Insights'!A1","ANLY-001")</f>
        <v>ANLY-001</v>
      </c>
      <c r="C20" s="1">
        <f>UT09_PhanTich_Insights!A7</f>
        <v>0</v>
      </c>
      <c r="D20" s="1">
        <f>UT09_PhanTich_Insights!C7</f>
        <v>0</v>
      </c>
      <c r="E20" s="1">
        <f>UT09_PhanTich_Insights!E7</f>
        <v>0</v>
      </c>
      <c r="F20" s="1">
        <f>UT09_PhanTich_Insights!G7</f>
        <v>15</v>
      </c>
      <c r="G20" s="1">
        <f>UT09_PhanTich_Insights!I7</f>
        <v>8</v>
      </c>
      <c r="H20" s="1">
        <f>UT09_PhanTich_Insights!K7</f>
        <v>4</v>
      </c>
      <c r="I20" s="1">
        <f>UT09_PhanTich_Insights!M7</f>
        <v>3</v>
      </c>
      <c r="J20" s="1">
        <f>UT09_PhanTich_Insights!O7</f>
        <v>15</v>
      </c>
      <c r="K20" s="53">
        <f t="shared" si="0"/>
        <v>0</v>
      </c>
      <c r="L20" s="1"/>
      <c r="M20" s="1"/>
      <c r="N20" s="1"/>
    </row>
    <row r="21" spans="1:14">
      <c r="A21" s="29">
        <v>10</v>
      </c>
      <c r="B21" s="64" t="str">
        <f>HYPERLINK("#'UT10_AI_TaoSurvey'!A1","AI-GEN-001")</f>
        <v>AI-GEN-001</v>
      </c>
      <c r="C21" s="1">
        <f>UT10_AI_TaoSurvey!A7</f>
        <v>0</v>
      </c>
      <c r="D21" s="1">
        <f>UT10_AI_TaoSurvey!C7</f>
        <v>0</v>
      </c>
      <c r="E21" s="1">
        <f>UT10_AI_TaoSurvey!E7</f>
        <v>0</v>
      </c>
      <c r="F21" s="1">
        <f>UT10_AI_TaoSurvey!G7</f>
        <v>15</v>
      </c>
      <c r="G21" s="1">
        <f>UT10_AI_TaoSurvey!I7</f>
        <v>6</v>
      </c>
      <c r="H21" s="1">
        <f>UT10_AI_TaoSurvey!K7</f>
        <v>5</v>
      </c>
      <c r="I21" s="1">
        <f>UT10_AI_TaoSurvey!M7</f>
        <v>4</v>
      </c>
      <c r="J21" s="1">
        <f>UT10_AI_TaoSurvey!O7</f>
        <v>15</v>
      </c>
      <c r="K21" s="53">
        <f t="shared" si="0"/>
        <v>0</v>
      </c>
      <c r="L21" s="1"/>
      <c r="M21" s="1"/>
      <c r="N21" s="1"/>
    </row>
    <row r="22" spans="1:14">
      <c r="A22" s="29">
        <v>11</v>
      </c>
      <c r="B22" s="64" t="str">
        <f>HYPERLINK("#'UT11_AI_Dich'!A1","AI-TR-001")</f>
        <v>AI-TR-001</v>
      </c>
      <c r="C22" s="1">
        <f>UT11_AI_Dich!A7</f>
        <v>0</v>
      </c>
      <c r="D22" s="1">
        <f>UT11_AI_Dich!C7</f>
        <v>0</v>
      </c>
      <c r="E22" s="1">
        <f>UT11_AI_Dich!E7</f>
        <v>0</v>
      </c>
      <c r="F22" s="1">
        <f>UT11_AI_Dich!G7</f>
        <v>12</v>
      </c>
      <c r="G22" s="1">
        <f>UT11_AI_Dich!I7</f>
        <v>4</v>
      </c>
      <c r="H22" s="1">
        <f>UT11_AI_Dich!K7</f>
        <v>7</v>
      </c>
      <c r="I22" s="1">
        <f>UT11_AI_Dich!M7</f>
        <v>1</v>
      </c>
      <c r="J22" s="1">
        <f>UT11_AI_Dich!O7</f>
        <v>12</v>
      </c>
      <c r="K22" s="53">
        <f t="shared" si="0"/>
        <v>0</v>
      </c>
      <c r="L22" s="1"/>
      <c r="M22" s="1"/>
      <c r="N22" s="1"/>
    </row>
    <row r="23" spans="1:14">
      <c r="A23" s="29">
        <v>12</v>
      </c>
      <c r="B23" s="64" t="str">
        <f>HYPERLINK("#'UT12_AI_Sentiment'!A1","AI-SEN-001")</f>
        <v>AI-SEN-001</v>
      </c>
      <c r="C23" s="1">
        <f>UT12_AI_Sentiment!A7</f>
        <v>0</v>
      </c>
      <c r="D23" s="1">
        <f>UT12_AI_Sentiment!C7</f>
        <v>0</v>
      </c>
      <c r="E23" s="1">
        <f>UT12_AI_Sentiment!E7</f>
        <v>0</v>
      </c>
      <c r="F23" s="1">
        <f>UT12_AI_Sentiment!G7</f>
        <v>12</v>
      </c>
      <c r="G23" s="1">
        <f>UT12_AI_Sentiment!I7</f>
        <v>6</v>
      </c>
      <c r="H23" s="1">
        <f>UT12_AI_Sentiment!K7</f>
        <v>2</v>
      </c>
      <c r="I23" s="1">
        <f>UT12_AI_Sentiment!M7</f>
        <v>4</v>
      </c>
      <c r="J23" s="1">
        <f>UT12_AI_Sentiment!O7</f>
        <v>12</v>
      </c>
      <c r="K23" s="53">
        <f t="shared" si="0"/>
        <v>0</v>
      </c>
      <c r="L23" s="1"/>
      <c r="M23" s="1"/>
      <c r="N23" s="1"/>
    </row>
    <row r="24" spans="1:14">
      <c r="A24" s="29">
        <v>13</v>
      </c>
      <c r="B24" s="64" t="str">
        <f>HYPERLINK("#'UT13_AI_TopicTree'!A1","AI-TOP-001")</f>
        <v>AI-TOP-001</v>
      </c>
      <c r="C24" s="1">
        <f>UT13_AI_TopicTree!A7</f>
        <v>0</v>
      </c>
      <c r="D24" s="1">
        <f>UT13_AI_TopicTree!C7</f>
        <v>0</v>
      </c>
      <c r="E24" s="1">
        <f>UT13_AI_TopicTree!E7</f>
        <v>0</v>
      </c>
      <c r="F24" s="1">
        <f>UT13_AI_TopicTree!G7</f>
        <v>15</v>
      </c>
      <c r="G24" s="1">
        <f>UT13_AI_TopicTree!I7</f>
        <v>6</v>
      </c>
      <c r="H24" s="1">
        <f>UT13_AI_TopicTree!K7</f>
        <v>4</v>
      </c>
      <c r="I24" s="1">
        <f>UT13_AI_TopicTree!M7</f>
        <v>5</v>
      </c>
      <c r="J24" s="1">
        <f>UT13_AI_TopicTree!O7</f>
        <v>15</v>
      </c>
      <c r="K24" s="53">
        <f t="shared" si="0"/>
        <v>0</v>
      </c>
      <c r="L24" s="1"/>
      <c r="M24" s="1"/>
      <c r="N24" s="1"/>
    </row>
    <row r="25" spans="1:14">
      <c r="A25" s="29">
        <v>14</v>
      </c>
      <c r="B25" s="64" t="str">
        <f>HYPERLINK("#'UT14_AI_ResultChat'!A1","AI-CHAT-001")</f>
        <v>AI-CHAT-001</v>
      </c>
      <c r="C25" s="1">
        <f>UT14_AI_ResultChat!A7</f>
        <v>0</v>
      </c>
      <c r="D25" s="1">
        <f>UT14_AI_ResultChat!C7</f>
        <v>0</v>
      </c>
      <c r="E25" s="1">
        <f>UT14_AI_ResultChat!E7</f>
        <v>0</v>
      </c>
      <c r="F25" s="1">
        <f>UT14_AI_ResultChat!G7</f>
        <v>10</v>
      </c>
      <c r="G25" s="1">
        <f>UT14_AI_ResultChat!I7</f>
        <v>5</v>
      </c>
      <c r="H25" s="1">
        <f>UT14_AI_ResultChat!K7</f>
        <v>3</v>
      </c>
      <c r="I25" s="1">
        <f>UT14_AI_ResultChat!M7</f>
        <v>2</v>
      </c>
      <c r="J25" s="1">
        <f>UT14_AI_ResultChat!O7</f>
        <v>10</v>
      </c>
      <c r="K25" s="53">
        <f t="shared" si="0"/>
        <v>0</v>
      </c>
      <c r="L25" s="1"/>
      <c r="M25" s="1"/>
      <c r="N25" s="1"/>
    </row>
    <row r="26" spans="1:14">
      <c r="A26" s="29">
        <v>15</v>
      </c>
      <c r="B26" s="64" t="str">
        <f>HYPERLINK("#'UT15_TichHop'!A1","INTG-001")</f>
        <v>INTG-001</v>
      </c>
      <c r="C26" s="1">
        <f>UT15_TichHop!A7</f>
        <v>0</v>
      </c>
      <c r="D26" s="1">
        <f>UT15_TichHop!C7</f>
        <v>0</v>
      </c>
      <c r="E26" s="1">
        <f>UT15_TichHop!E7</f>
        <v>0</v>
      </c>
      <c r="F26" s="1">
        <f>UT15_TichHop!G7</f>
        <v>12</v>
      </c>
      <c r="G26" s="1">
        <f>UT15_TichHop!I7</f>
        <v>5</v>
      </c>
      <c r="H26" s="1">
        <f>UT15_TichHop!K7</f>
        <v>7</v>
      </c>
      <c r="I26" s="1">
        <f>UT15_TichHop!M7</f>
        <v>0</v>
      </c>
      <c r="J26" s="1">
        <f>UT15_TichHop!O7</f>
        <v>12</v>
      </c>
      <c r="K26" s="53">
        <f t="shared" si="0"/>
        <v>0</v>
      </c>
      <c r="L26" s="1"/>
      <c r="M26" s="1"/>
      <c r="N26" s="1"/>
    </row>
    <row r="27" spans="1:14">
      <c r="A27" s="29">
        <v>16</v>
      </c>
      <c r="B27" s="64" t="str">
        <f>HYPERLINK("#'UT16_API'!A1","API-001")</f>
        <v>API-001</v>
      </c>
      <c r="C27" s="1">
        <f>UT16_API!A7</f>
        <v>0</v>
      </c>
      <c r="D27" s="1">
        <f>UT16_API!C7</f>
        <v>0</v>
      </c>
      <c r="E27" s="1">
        <f>UT16_API!E7</f>
        <v>0</v>
      </c>
      <c r="F27" s="1">
        <f>UT16_API!G7</f>
        <v>12</v>
      </c>
      <c r="G27" s="1">
        <f>UT16_API!I7</f>
        <v>5</v>
      </c>
      <c r="H27" s="1">
        <f>UT16_API!K7</f>
        <v>5</v>
      </c>
      <c r="I27" s="1">
        <f>UT16_API!M7</f>
        <v>2</v>
      </c>
      <c r="J27" s="1">
        <f>UT16_API!O7</f>
        <v>12</v>
      </c>
      <c r="K27" s="53">
        <f t="shared" si="0"/>
        <v>0</v>
      </c>
      <c r="L27" s="1"/>
      <c r="M27" s="1"/>
      <c r="N27" s="1"/>
    </row>
    <row r="28" spans="1:14">
      <c r="A28" s="29">
        <v>17</v>
      </c>
      <c r="B28" s="64" t="str">
        <f>HYPERLINK("#'UT17_LuuTru_Email'!A1","STGE-001")</f>
        <v>STGE-001</v>
      </c>
      <c r="C28" s="1">
        <f>UT17_LuuTru_Email!A7</f>
        <v>0</v>
      </c>
      <c r="D28" s="1">
        <f>UT17_LuuTru_Email!C7</f>
        <v>0</v>
      </c>
      <c r="E28" s="1">
        <f>UT17_LuuTru_Email!E7</f>
        <v>0</v>
      </c>
      <c r="F28" s="1">
        <f>UT17_LuuTru_Email!G7</f>
        <v>12</v>
      </c>
      <c r="G28" s="1">
        <f>UT17_LuuTru_Email!I7</f>
        <v>6</v>
      </c>
      <c r="H28" s="1">
        <f>UT17_LuuTru_Email!K7</f>
        <v>5</v>
      </c>
      <c r="I28" s="1">
        <f>UT17_LuuTru_Email!M7</f>
        <v>1</v>
      </c>
      <c r="J28" s="1">
        <f>UT17_LuuTru_Email!O7</f>
        <v>12</v>
      </c>
      <c r="K28" s="53">
        <f t="shared" si="0"/>
        <v>0</v>
      </c>
      <c r="L28" s="1"/>
      <c r="M28" s="1"/>
      <c r="N28" s="1"/>
    </row>
    <row r="29" spans="1:14">
      <c r="A29" s="29"/>
      <c r="B29" s="1"/>
      <c r="C29" s="1"/>
      <c r="D29" s="1"/>
      <c r="E29" s="1"/>
      <c r="F29" s="1"/>
      <c r="G29" s="1"/>
      <c r="H29" s="1"/>
      <c r="I29" s="1"/>
      <c r="J29" s="1"/>
      <c r="K29" s="53"/>
      <c r="L29" s="1"/>
      <c r="M29" s="1"/>
      <c r="N29" s="1"/>
    </row>
    <row r="30" spans="1:14">
      <c r="A30" s="105" t="s">
        <v>192</v>
      </c>
      <c r="B30" s="106"/>
      <c r="C30" s="52">
        <f t="shared" ref="C30:J30" si="1">SUM(C12:C28)</f>
        <v>1</v>
      </c>
      <c r="D30" s="52">
        <f t="shared" si="1"/>
        <v>1</v>
      </c>
      <c r="E30" s="52">
        <f t="shared" si="1"/>
        <v>1</v>
      </c>
      <c r="F30" s="52">
        <f t="shared" si="1"/>
        <v>221</v>
      </c>
      <c r="G30" s="52">
        <f t="shared" si="1"/>
        <v>112</v>
      </c>
      <c r="H30" s="52">
        <f t="shared" si="1"/>
        <v>72</v>
      </c>
      <c r="I30" s="52">
        <f t="shared" si="1"/>
        <v>40</v>
      </c>
      <c r="J30" s="52">
        <f t="shared" si="1"/>
        <v>224</v>
      </c>
      <c r="K30" s="54">
        <f>IF(J30=0,0,(C30+D30+E30)/J30)</f>
        <v>1.3392857142857142E-2</v>
      </c>
      <c r="L30" s="1"/>
      <c r="M30" s="1"/>
      <c r="N30" s="1"/>
    </row>
    <row r="31" spans="1:14">
      <c r="A31" s="1"/>
      <c r="B31" s="1"/>
      <c r="C31" s="1"/>
      <c r="D31" s="1"/>
      <c r="E31" s="1"/>
      <c r="F31" s="1"/>
      <c r="G31" s="1"/>
      <c r="H31" s="1"/>
      <c r="I31" s="1"/>
      <c r="J31" s="1"/>
      <c r="K31" s="1"/>
      <c r="L31" s="1"/>
      <c r="M31" s="1"/>
      <c r="N31" s="1"/>
    </row>
    <row r="32" spans="1:14">
      <c r="A32" s="107" t="s">
        <v>193</v>
      </c>
      <c r="B32" s="115"/>
      <c r="C32" s="116">
        <f>IF(J30=0,0,(C30+D30+E30)/J30)</f>
        <v>1.3392857142857142E-2</v>
      </c>
      <c r="D32" s="96"/>
      <c r="E32" s="1"/>
      <c r="F32" s="1"/>
      <c r="G32" s="1"/>
      <c r="H32" s="1"/>
      <c r="I32" s="1"/>
      <c r="J32" s="1"/>
      <c r="K32" s="1"/>
      <c r="L32" s="1"/>
      <c r="M32" s="1"/>
      <c r="N32" s="1"/>
    </row>
    <row r="33" spans="1:14">
      <c r="A33" s="109" t="s">
        <v>194</v>
      </c>
      <c r="B33" s="117"/>
      <c r="C33" s="118">
        <f>IF((C30+D30)=0,0,C30/(C30+D30))</f>
        <v>0.5</v>
      </c>
      <c r="D33" s="100"/>
      <c r="E33" s="1"/>
      <c r="F33" s="1"/>
      <c r="G33" s="1"/>
      <c r="H33" s="1"/>
      <c r="I33" s="1"/>
      <c r="J33" s="1"/>
      <c r="K33" s="1"/>
      <c r="L33" s="1"/>
      <c r="M33" s="1"/>
      <c r="N33" s="1"/>
    </row>
    <row r="34" spans="1:14">
      <c r="A34" s="109" t="s">
        <v>195</v>
      </c>
      <c r="B34" s="117"/>
      <c r="C34" s="118">
        <f>IF(G30=0,0,SUM(COUNTIFS(UT01_XacThuc!F21:Q21,"N",UT01_XacThuc!F22:Q22,"Passed"),COUNTIFS(UT01_XacThuc!F21:Q21,"N",UT01_XacThuc!F22:Q22,"Failed"),COUNTIFS(UT01_XacThuc!F21:Q21,"N",UT01_XacThuc!F22:Q22,"Blocked"),COUNTIFS(UT02_ToChuc!F21:Q21,"N",UT02_ToChuc!F22:Q22,"Passed"),COUNTIFS(UT02_ToChuc!F21:Q21,"N",UT02_ToChuc!F22:Q22,"Failed"),COUNTIFS(UT02_ToChuc!F21:Q21,"N",UT02_ToChuc!F22:Q22,"Blocked"),COUNTIFS(UT03_Workspace_RBAC!F21:T21,"N",UT03_Workspace_RBAC!F22:T22,"Passed"),COUNTIFS(UT03_Workspace_RBAC!F21:T21,"N",UT03_Workspace_RBAC!F22:T22,"Failed"),COUNTIFS(UT03_Workspace_RBAC!F21:T21,"N",UT03_Workspace_RBAC!F22:T22,"Blocked"),COUNTIFS(UT04_Dashboard_DieuHuong!F21:O21,"N",UT04_Dashboard_DieuHuong!F22:O22,"Passed"),COUNTIFS(UT04_Dashboard_DieuHuong!F21:O21,"N",UT04_Dashboard_DieuHuong!F22:O22,"Failed"),COUNTIFS(UT04_Dashboard_DieuHuong!F21:O21,"N",UT04_Dashboard_DieuHuong!F22:O22,"Blocked"),COUNTIFS(UT05_Survey_ThuCong!F21:T21,"N",UT05_Survey_ThuCong!F22:T22,"Passed"),COUNTIFS(UT05_Survey_ThuCong!F21:T21,"N",UT05_Survey_ThuCong!F22:T22,"Failed"),COUNTIFS(UT05_Survey_ThuCong!F21:T21,"N",UT05_Survey_ThuCong!F22:T22,"Blocked"),COUNTIFS(UT06_Import_CSV_XLSX!F21:T21,"N",UT06_Import_CSV_XLSX!F22:T22,"Passed"),COUNTIFS(UT06_Import_CSV_XLSX!F21:T21,"N",UT06_Import_CSV_XLSX!F22:T22,"Failed"),COUNTIFS(UT06_Import_CSV_XLSX!F21:T21,"N",UT06_Import_CSV_XLSX!F22:T22,"Blocked"),COUNTIFS(UT07_TestBank_Adaptive!F21:T21,"N",UT07_TestBank_Adaptive!F22:T22,"Passed"),COUNTIFS(UT07_TestBank_Adaptive!F21:T21,"N",UT07_TestBank_Adaptive!F22:T22,"Failed"),COUNTIFS(UT07_TestBank_Adaptive!F21:T21,"N",UT07_TestBank_Adaptive!F22:T22,"Blocked"),COUNTIFS(UT08_PhanHoi!F21:T21,"N",UT08_PhanHoi!F22:T22,"Passed"),COUNTIFS(UT08_PhanHoi!F21:T21,"N",UT08_PhanHoi!F22:T22,"Failed"),COUNTIFS(UT08_PhanHoi!F21:T21,"N",UT08_PhanHoi!F22:T22,"Blocked"),COUNTIFS(UT09_PhanTich_Insights!F21:T21,"N",UT09_PhanTich_Insights!F22:T22,"Passed"),COUNTIFS(UT09_PhanTich_Insights!F21:T21,"N",UT09_PhanTich_Insights!F22:T22,"Failed"),COUNTIFS(UT09_PhanTich_Insights!F21:T21,"N",UT09_PhanTich_Insights!F22:T22,"Blocked"),COUNTIFS(UT10_AI_TaoSurvey!F21:T21,"N",UT10_AI_TaoSurvey!F22:T22,"Passed"),COUNTIFS(UT10_AI_TaoSurvey!F21:T21,"N",UT10_AI_TaoSurvey!F22:T22,"Failed"),COUNTIFS(UT10_AI_TaoSurvey!F21:T21,"N",UT10_AI_TaoSurvey!F22:T22,"Blocked"),COUNTIFS(UT11_AI_Dich!F21:Q21,"N",UT11_AI_Dich!F22:Q22,"Passed"),COUNTIFS(UT11_AI_Dich!F21:Q21,"N",UT11_AI_Dich!F22:Q22,"Failed"),COUNTIFS(UT11_AI_Dich!F21:Q21,"N",UT11_AI_Dich!F22:Q22,"Blocked"),COUNTIFS(UT12_AI_Sentiment!F21:Q21,"N",UT12_AI_Sentiment!F22:Q22,"Passed"),COUNTIFS(UT12_AI_Sentiment!F21:Q21,"N",UT12_AI_Sentiment!F22:Q22,"Failed"),COUNTIFS(UT12_AI_Sentiment!F21:Q21,"N",UT12_AI_Sentiment!F22:Q22,"Blocked"),COUNTIFS(UT13_AI_TopicTree!F21:T21,"N",UT13_AI_TopicTree!F22:T22,"Passed"),COUNTIFS(UT13_AI_TopicTree!F21:T21,"N",UT13_AI_TopicTree!F22:T22,"Failed"),COUNTIFS(UT13_AI_TopicTree!F21:T21,"N",UT13_AI_TopicTree!F22:T22,"Blocked"),COUNTIFS(UT14_AI_ResultChat!F21:O21,"N",UT14_AI_ResultChat!F22:O22,"Passed"),COUNTIFS(UT14_AI_ResultChat!F21:O21,"N",UT14_AI_ResultChat!F22:O22,"Failed"),COUNTIFS(UT14_AI_ResultChat!F21:O21,"N",UT14_AI_ResultChat!F22:O22,"Blocked"),COUNTIFS(UT15_TichHop!F21:Q21,"N",UT15_TichHop!F22:Q22,"Passed"),COUNTIFS(UT15_TichHop!F21:Q21,"N",UT15_TichHop!F22:Q22,"Failed"),COUNTIFS(UT15_TichHop!F21:Q21,"N",UT15_TichHop!F22:Q22,"Blocked"),COUNTIFS(UT16_API!F21:Q21,"N",UT16_API!F22:Q22,"Passed"),COUNTIFS(UT16_API!F21:Q21,"N",UT16_API!F22:Q22,"Failed"),COUNTIFS(UT16_API!F21:Q21,"N",UT16_API!F22:Q22,"Blocked"),COUNTIFS(UT17_LuuTru_Email!F21:Q21,"N",UT17_LuuTru_Email!F22:Q22,"Passed"),COUNTIFS(UT17_LuuTru_Email!F21:Q21,"N",UT17_LuuTru_Email!F22:Q22,"Failed"),COUNTIFS(UT17_LuuTru_Email!F21:Q21,"N",UT17_LuuTru_Email!F22:Q22,"Blocked"))/G30)</f>
        <v>8.9285714285714281E-3</v>
      </c>
      <c r="D34" s="100"/>
      <c r="E34" s="1"/>
      <c r="F34" s="1"/>
      <c r="G34" s="1"/>
      <c r="H34" s="1"/>
      <c r="I34" s="1"/>
      <c r="J34" s="1"/>
      <c r="K34" s="1"/>
      <c r="L34" s="1"/>
      <c r="M34" s="1"/>
      <c r="N34" s="1"/>
    </row>
    <row r="35" spans="1:14">
      <c r="A35" s="109" t="s">
        <v>196</v>
      </c>
      <c r="B35" s="117"/>
      <c r="C35" s="118">
        <f>IF(H30=0,0,SUM(COUNTIFS(UT01_XacThuc!F21:Q21,"A",UT01_XacThuc!F22:Q22,"Passed"),COUNTIFS(UT01_XacThuc!F21:Q21,"A",UT01_XacThuc!F22:Q22,"Failed"),COUNTIFS(UT01_XacThuc!F21:Q21,"A",UT01_XacThuc!F22:Q22,"Blocked"),COUNTIFS(UT02_ToChuc!F21:Q21,"A",UT02_ToChuc!F22:Q22,"Passed"),COUNTIFS(UT02_ToChuc!F21:Q21,"A",UT02_ToChuc!F22:Q22,"Failed"),COUNTIFS(UT02_ToChuc!F21:Q21,"A",UT02_ToChuc!F22:Q22,"Blocked"),COUNTIFS(UT03_Workspace_RBAC!F21:T21,"A",UT03_Workspace_RBAC!F22:T22,"Passed"),COUNTIFS(UT03_Workspace_RBAC!F21:T21,"A",UT03_Workspace_RBAC!F22:T22,"Failed"),COUNTIFS(UT03_Workspace_RBAC!F21:T21,"A",UT03_Workspace_RBAC!F22:T22,"Blocked"),COUNTIFS(UT04_Dashboard_DieuHuong!F21:O21,"A",UT04_Dashboard_DieuHuong!F22:O22,"Passed"),COUNTIFS(UT04_Dashboard_DieuHuong!F21:O21,"A",UT04_Dashboard_DieuHuong!F22:O22,"Failed"),COUNTIFS(UT04_Dashboard_DieuHuong!F21:O21,"A",UT04_Dashboard_DieuHuong!F22:O22,"Blocked"),COUNTIFS(UT05_Survey_ThuCong!F21:T21,"A",UT05_Survey_ThuCong!F22:T22,"Passed"),COUNTIFS(UT05_Survey_ThuCong!F21:T21,"A",UT05_Survey_ThuCong!F22:T22,"Failed"),COUNTIFS(UT05_Survey_ThuCong!F21:T21,"A",UT05_Survey_ThuCong!F22:T22,"Blocked"),COUNTIFS(UT06_Import_CSV_XLSX!F21:T21,"A",UT06_Import_CSV_XLSX!F22:T22,"Passed"),COUNTIFS(UT06_Import_CSV_XLSX!F21:T21,"A",UT06_Import_CSV_XLSX!F22:T22,"Failed"),COUNTIFS(UT06_Import_CSV_XLSX!F21:T21,"A",UT06_Import_CSV_XLSX!F22:T22,"Blocked"),COUNTIFS(UT07_TestBank_Adaptive!F21:T21,"A",UT07_TestBank_Adaptive!F22:T22,"Passed"),COUNTIFS(UT07_TestBank_Adaptive!F21:T21,"A",UT07_TestBank_Adaptive!F22:T22,"Failed"),COUNTIFS(UT07_TestBank_Adaptive!F21:T21,"A",UT07_TestBank_Adaptive!F22:T22,"Blocked"),COUNTIFS(UT08_PhanHoi!F21:T21,"A",UT08_PhanHoi!F22:T22,"Passed"),COUNTIFS(UT08_PhanHoi!F21:T21,"A",UT08_PhanHoi!F22:T22,"Failed"),COUNTIFS(UT08_PhanHoi!F21:T21,"A",UT08_PhanHoi!F22:T22,"Blocked"),COUNTIFS(UT09_PhanTich_Insights!F21:T21,"A",UT09_PhanTich_Insights!F22:T22,"Passed"),COUNTIFS(UT09_PhanTich_Insights!F21:T21,"A",UT09_PhanTich_Insights!F22:T22,"Failed"),COUNTIFS(UT09_PhanTich_Insights!F21:T21,"A",UT09_PhanTich_Insights!F22:T22,"Blocked"),COUNTIFS(UT10_AI_TaoSurvey!F21:T21,"A",UT10_AI_TaoSurvey!F22:T22,"Passed"),COUNTIFS(UT10_AI_TaoSurvey!F21:T21,"A",UT10_AI_TaoSurvey!F22:T22,"Failed"),COUNTIFS(UT10_AI_TaoSurvey!F21:T21,"A",UT10_AI_TaoSurvey!F22:T22,"Blocked"),COUNTIFS(UT11_AI_Dich!F21:Q21,"A",UT11_AI_Dich!F22:Q22,"Passed"),COUNTIFS(UT11_AI_Dich!F21:Q21,"A",UT11_AI_Dich!F22:Q22,"Failed"),COUNTIFS(UT11_AI_Dich!F21:Q21,"A",UT11_AI_Dich!F22:Q22,"Blocked"),COUNTIFS(UT12_AI_Sentiment!F21:Q21,"A",UT12_AI_Sentiment!F22:Q22,"Passed"),COUNTIFS(UT12_AI_Sentiment!F21:Q21,"A",UT12_AI_Sentiment!F22:Q22,"Failed"),COUNTIFS(UT12_AI_Sentiment!F21:Q21,"A",UT12_AI_Sentiment!F22:Q22,"Blocked"),COUNTIFS(UT13_AI_TopicTree!F21:T21,"A",UT13_AI_TopicTree!F22:T22,"Passed"),COUNTIFS(UT13_AI_TopicTree!F21:T21,"A",UT13_AI_TopicTree!F22:T22,"Failed"),COUNTIFS(UT13_AI_TopicTree!F21:T21,"A",UT13_AI_TopicTree!F22:T22,"Blocked"),COUNTIFS(UT14_AI_ResultChat!F21:O21,"A",UT14_AI_ResultChat!F22:O22,"Passed"),COUNTIFS(UT14_AI_ResultChat!F21:O21,"A",UT14_AI_ResultChat!F22:O22,"Failed"),COUNTIFS(UT14_AI_ResultChat!F21:O21,"A",UT14_AI_ResultChat!F22:O22,"Blocked"),COUNTIFS(UT15_TichHop!F21:Q21,"A",UT15_TichHop!F22:Q22,"Passed"),COUNTIFS(UT15_TichHop!F21:Q21,"A",UT15_TichHop!F22:Q22,"Failed"),COUNTIFS(UT15_TichHop!F21:Q21,"A",UT15_TichHop!F22:Q22,"Blocked"),COUNTIFS(UT16_API!F21:Q21,"A",UT16_API!F22:Q22,"Passed"),COUNTIFS(UT16_API!F21:Q21,"A",UT16_API!F22:Q22,"Failed"),COUNTIFS(UT16_API!F21:Q21,"A",UT16_API!F22:Q22,"Blocked"),COUNTIFS(UT17_LuuTru_Email!F21:Q21,"A",UT17_LuuTru_Email!F22:Q22,"Passed"),COUNTIFS(UT17_LuuTru_Email!F21:Q21,"A",UT17_LuuTru_Email!F22:Q22,"Failed"),COUNTIFS(UT17_LuuTru_Email!F21:Q21,"A",UT17_LuuTru_Email!F22:Q22,"Blocked"))/H30)</f>
        <v>2.7777777777777776E-2</v>
      </c>
      <c r="D35" s="100"/>
      <c r="E35" s="1"/>
      <c r="F35" s="1"/>
      <c r="G35" s="1"/>
      <c r="H35" s="1"/>
      <c r="I35" s="1"/>
      <c r="J35" s="1"/>
      <c r="K35" s="1"/>
      <c r="L35" s="1"/>
      <c r="M35" s="1"/>
      <c r="N35" s="1"/>
    </row>
    <row r="36" spans="1:14">
      <c r="A36" s="109" t="s">
        <v>197</v>
      </c>
      <c r="B36" s="117"/>
      <c r="C36" s="118">
        <f>IF(I30=0,0,SUM(COUNTIFS(UT01_XacThuc!F21:Q21,"B",UT01_XacThuc!F22:Q22,"Passed"),COUNTIFS(UT01_XacThuc!F21:Q21,"B",UT01_XacThuc!F22:Q22,"Failed"),COUNTIFS(UT01_XacThuc!F21:Q21,"B",UT01_XacThuc!F22:Q22,"Blocked"),COUNTIFS(UT02_ToChuc!F21:Q21,"B",UT02_ToChuc!F22:Q22,"Passed"),COUNTIFS(UT02_ToChuc!F21:Q21,"B",UT02_ToChuc!F22:Q22,"Failed"),COUNTIFS(UT02_ToChuc!F21:Q21,"B",UT02_ToChuc!F22:Q22,"Blocked"),COUNTIFS(UT03_Workspace_RBAC!F21:T21,"B",UT03_Workspace_RBAC!F22:T22,"Passed"),COUNTIFS(UT03_Workspace_RBAC!F21:T21,"B",UT03_Workspace_RBAC!F22:T22,"Failed"),COUNTIFS(UT03_Workspace_RBAC!F21:T21,"B",UT03_Workspace_RBAC!F22:T22,"Blocked"),COUNTIFS(UT04_Dashboard_DieuHuong!F21:O21,"B",UT04_Dashboard_DieuHuong!F22:O22,"Passed"),COUNTIFS(UT04_Dashboard_DieuHuong!F21:O21,"B",UT04_Dashboard_DieuHuong!F22:O22,"Failed"),COUNTIFS(UT04_Dashboard_DieuHuong!F21:O21,"B",UT04_Dashboard_DieuHuong!F22:O22,"Blocked"),COUNTIFS(UT05_Survey_ThuCong!F21:T21,"B",UT05_Survey_ThuCong!F22:T22,"Passed"),COUNTIFS(UT05_Survey_ThuCong!F21:T21,"B",UT05_Survey_ThuCong!F22:T22,"Failed"),COUNTIFS(UT05_Survey_ThuCong!F21:T21,"B",UT05_Survey_ThuCong!F22:T22,"Blocked"),COUNTIFS(UT06_Import_CSV_XLSX!F21:T21,"B",UT06_Import_CSV_XLSX!F22:T22,"Passed"),COUNTIFS(UT06_Import_CSV_XLSX!F21:T21,"B",UT06_Import_CSV_XLSX!F22:T22,"Failed"),COUNTIFS(UT06_Import_CSV_XLSX!F21:T21,"B",UT06_Import_CSV_XLSX!F22:T22,"Blocked"),COUNTIFS(UT07_TestBank_Adaptive!F21:T21,"B",UT07_TestBank_Adaptive!F22:T22,"Passed"),COUNTIFS(UT07_TestBank_Adaptive!F21:T21,"B",UT07_TestBank_Adaptive!F22:T22,"Failed"),COUNTIFS(UT07_TestBank_Adaptive!F21:T21,"B",UT07_TestBank_Adaptive!F22:T22,"Blocked"),COUNTIFS(UT08_PhanHoi!F21:T21,"B",UT08_PhanHoi!F22:T22,"Passed"),COUNTIFS(UT08_PhanHoi!F21:T21,"B",UT08_PhanHoi!F22:T22,"Failed"),COUNTIFS(UT08_PhanHoi!F21:T21,"B",UT08_PhanHoi!F22:T22,"Blocked"),COUNTIFS(UT09_PhanTich_Insights!F21:T21,"B",UT09_PhanTich_Insights!F22:T22,"Passed"),COUNTIFS(UT09_PhanTich_Insights!F21:T21,"B",UT09_PhanTich_Insights!F22:T22,"Failed"),COUNTIFS(UT09_PhanTich_Insights!F21:T21,"B",UT09_PhanTich_Insights!F22:T22,"Blocked"),COUNTIFS(UT10_AI_TaoSurvey!F21:T21,"B",UT10_AI_TaoSurvey!F22:T22,"Passed"),COUNTIFS(UT10_AI_TaoSurvey!F21:T21,"B",UT10_AI_TaoSurvey!F22:T22,"Failed"),COUNTIFS(UT10_AI_TaoSurvey!F21:T21,"B",UT10_AI_TaoSurvey!F22:T22,"Blocked"),COUNTIFS(UT11_AI_Dich!F21:Q21,"B",UT11_AI_Dich!F22:Q22,"Passed"),COUNTIFS(UT11_AI_Dich!F21:Q21,"B",UT11_AI_Dich!F22:Q22,"Failed"),COUNTIFS(UT11_AI_Dich!F21:Q21,"B",UT11_AI_Dich!F22:Q22,"Blocked"),COUNTIFS(UT12_AI_Sentiment!F21:Q21,"B",UT12_AI_Sentiment!F22:Q22,"Passed"),COUNTIFS(UT12_AI_Sentiment!F21:Q21,"B",UT12_AI_Sentiment!F22:Q22,"Failed"),COUNTIFS(UT12_AI_Sentiment!F21:Q21,"B",UT12_AI_Sentiment!F22:Q22,"Blocked"),COUNTIFS(UT13_AI_TopicTree!F21:T21,"B",UT13_AI_TopicTree!F22:T22,"Passed"),COUNTIFS(UT13_AI_TopicTree!F21:T21,"B",UT13_AI_TopicTree!F22:T22,"Failed"),COUNTIFS(UT13_AI_TopicTree!F21:T21,"B",UT13_AI_TopicTree!F22:T22,"Blocked"),COUNTIFS(UT14_AI_ResultChat!F21:O21,"B",UT14_AI_ResultChat!F22:O22,"Passed"),COUNTIFS(UT14_AI_ResultChat!F21:O21,"B",UT14_AI_ResultChat!F22:O22,"Failed"),COUNTIFS(UT14_AI_ResultChat!F21:O21,"B",UT14_AI_ResultChat!F22:O22,"Blocked"),COUNTIFS(UT15_TichHop!F21:Q21,"B",UT15_TichHop!F22:Q22,"Passed"),COUNTIFS(UT15_TichHop!F21:Q21,"B",UT15_TichHop!F22:Q22,"Failed"),COUNTIFS(UT15_TichHop!F21:Q21,"B",UT15_TichHop!F22:Q22,"Blocked"),COUNTIFS(UT16_API!F21:Q21,"B",UT16_API!F22:Q22,"Passed"),COUNTIFS(UT16_API!F21:Q21,"B",UT16_API!F22:Q22,"Failed"),COUNTIFS(UT16_API!F21:Q21,"B",UT16_API!F22:Q22,"Blocked"),COUNTIFS(UT17_LuuTru_Email!F21:Q21,"B",UT17_LuuTru_Email!F22:Q22,"Passed"),COUNTIFS(UT17_LuuTru_Email!F21:Q21,"B",UT17_LuuTru_Email!F22:Q22,"Failed"),COUNTIFS(UT17_LuuTru_Email!F21:Q21,"B",UT17_LuuTru_Email!F22:Q22,"Blocked"))/I30)</f>
        <v>0</v>
      </c>
      <c r="D36" s="100"/>
      <c r="E36" s="1"/>
      <c r="F36" s="1"/>
      <c r="G36" s="1"/>
      <c r="H36" s="1"/>
      <c r="I36" s="1"/>
      <c r="J36" s="1"/>
      <c r="K36" s="1"/>
      <c r="L36" s="1"/>
      <c r="M36" s="1"/>
      <c r="N36" s="1"/>
    </row>
    <row r="37" spans="1:14">
      <c r="A37" s="113" t="s">
        <v>198</v>
      </c>
      <c r="B37" s="119"/>
      <c r="C37" s="120" t="str">
        <f>IF((C30+D30+E30)=0,"CHƯA THỰC HIỆN",IF(D30&gt;0,"CHƯA CHẤP NHẬN",IF(E30&gt;0,"CÒN BLOCKED - CẦN QUYẾT ĐỊNH",IF(F30&gt;0,"ĐANG THỰC HIỆN","SẴN SÀNG SIGN-OFF"))))</f>
        <v>CHƯA CHẤP NHẬN</v>
      </c>
      <c r="D37" s="121"/>
      <c r="E37" s="1"/>
      <c r="F37" s="1"/>
      <c r="G37" s="1"/>
      <c r="H37" s="1"/>
      <c r="I37" s="1"/>
      <c r="J37" s="1"/>
      <c r="K37" s="1"/>
      <c r="L37" s="1"/>
      <c r="M37" s="1"/>
      <c r="N37" s="1"/>
    </row>
    <row r="38" spans="1:14">
      <c r="A38" s="1"/>
      <c r="B38" s="1"/>
      <c r="C38" s="1"/>
      <c r="D38" s="1"/>
      <c r="E38" s="1"/>
      <c r="F38" s="1"/>
      <c r="G38" s="1"/>
      <c r="H38" s="1"/>
      <c r="I38" s="1"/>
      <c r="J38" s="1"/>
      <c r="K38" s="1"/>
      <c r="L38" s="1"/>
      <c r="M38" s="1"/>
      <c r="N38" s="1"/>
    </row>
    <row r="39" spans="1:14">
      <c r="A39" s="1"/>
      <c r="B39" s="1"/>
      <c r="C39" s="1"/>
      <c r="D39" s="1"/>
      <c r="E39" s="1"/>
      <c r="F39" s="1"/>
      <c r="G39" s="1"/>
      <c r="H39" s="1"/>
      <c r="I39" s="1"/>
      <c r="J39" s="1"/>
      <c r="K39" s="1"/>
      <c r="L39" s="1"/>
      <c r="M39" s="1"/>
      <c r="N39" s="1"/>
    </row>
    <row r="40" spans="1:14">
      <c r="A40" s="1"/>
      <c r="B40" s="1"/>
      <c r="C40" s="1"/>
      <c r="D40" s="1"/>
      <c r="E40" s="1"/>
      <c r="F40" s="1"/>
      <c r="G40" s="1"/>
      <c r="H40" s="1"/>
      <c r="I40" s="1"/>
      <c r="J40" s="1"/>
      <c r="K40" s="1"/>
      <c r="L40" s="1"/>
      <c r="M40" s="1"/>
      <c r="N40" s="1"/>
    </row>
    <row r="41" spans="1:14">
      <c r="A41" s="1"/>
      <c r="B41" s="1"/>
      <c r="C41" s="1"/>
      <c r="D41" s="1"/>
      <c r="E41" s="1"/>
      <c r="F41" s="1"/>
      <c r="G41" s="1"/>
      <c r="H41" s="1"/>
      <c r="I41" s="1"/>
      <c r="J41" s="1"/>
      <c r="K41" s="1"/>
      <c r="L41" s="1"/>
      <c r="M41" s="1"/>
      <c r="N41" s="1"/>
    </row>
    <row r="42" spans="1:14">
      <c r="A42" s="1"/>
      <c r="B42" s="1"/>
      <c r="C42" s="1"/>
      <c r="D42" s="1"/>
      <c r="E42" s="1"/>
      <c r="F42" s="1"/>
      <c r="G42" s="1"/>
      <c r="H42" s="1"/>
      <c r="I42" s="1"/>
      <c r="J42" s="1"/>
      <c r="K42" s="1"/>
      <c r="L42" s="1"/>
      <c r="M42" s="1"/>
      <c r="N42" s="1"/>
    </row>
    <row r="43" spans="1:14">
      <c r="A43" s="1"/>
      <c r="B43" s="1"/>
      <c r="C43" s="1"/>
      <c r="D43" s="1"/>
      <c r="E43" s="1"/>
      <c r="F43" s="1"/>
      <c r="G43" s="1"/>
      <c r="H43" s="1"/>
      <c r="I43" s="1"/>
      <c r="J43" s="1"/>
      <c r="K43" s="1"/>
      <c r="L43" s="1"/>
      <c r="M43" s="1"/>
      <c r="N43" s="1"/>
    </row>
    <row r="44" spans="1:14">
      <c r="A44" s="1"/>
      <c r="B44" s="1"/>
      <c r="C44" s="1"/>
      <c r="D44" s="1"/>
      <c r="E44" s="1"/>
      <c r="F44" s="1"/>
      <c r="G44" s="1"/>
      <c r="H44" s="1"/>
      <c r="I44" s="1"/>
      <c r="J44" s="1"/>
      <c r="K44" s="1"/>
      <c r="L44" s="1"/>
      <c r="M44" s="1"/>
      <c r="N44" s="1"/>
    </row>
    <row r="45" spans="1:14">
      <c r="A45" s="1"/>
      <c r="B45" s="1"/>
      <c r="C45" s="1"/>
      <c r="D45" s="1"/>
      <c r="E45" s="1"/>
      <c r="F45" s="1"/>
      <c r="G45" s="1"/>
      <c r="H45" s="1"/>
      <c r="I45" s="1"/>
      <c r="J45" s="1"/>
      <c r="K45" s="1"/>
      <c r="L45" s="1"/>
      <c r="M45" s="1"/>
      <c r="N45" s="1"/>
    </row>
    <row r="46" spans="1:14">
      <c r="A46" s="1"/>
      <c r="B46" s="1"/>
      <c r="C46" s="1"/>
      <c r="D46" s="1"/>
      <c r="E46" s="1"/>
      <c r="F46" s="1"/>
      <c r="G46" s="1"/>
      <c r="H46" s="1"/>
      <c r="I46" s="1"/>
      <c r="J46" s="1"/>
      <c r="K46" s="1"/>
      <c r="L46" s="1"/>
      <c r="M46" s="1"/>
      <c r="N46" s="1"/>
    </row>
    <row r="47" spans="1:14">
      <c r="A47" s="1"/>
      <c r="B47" s="1"/>
      <c r="C47" s="1"/>
      <c r="D47" s="1"/>
      <c r="E47" s="1"/>
      <c r="F47" s="1"/>
      <c r="G47" s="1"/>
      <c r="H47" s="1"/>
      <c r="I47" s="1"/>
      <c r="J47" s="1"/>
      <c r="K47" s="1"/>
      <c r="L47" s="1"/>
      <c r="M47" s="1"/>
      <c r="N47" s="1"/>
    </row>
    <row r="48" spans="1:14">
      <c r="A48" s="1"/>
      <c r="B48" s="1"/>
      <c r="C48" s="1"/>
      <c r="D48" s="1"/>
      <c r="E48" s="1"/>
      <c r="F48" s="1"/>
      <c r="G48" s="1"/>
      <c r="H48" s="1"/>
      <c r="I48" s="1"/>
      <c r="J48" s="1"/>
      <c r="K48" s="1"/>
      <c r="L48" s="1"/>
      <c r="M48" s="1"/>
      <c r="N48" s="1"/>
    </row>
    <row r="49" spans="1:14">
      <c r="A49" s="1"/>
      <c r="B49" s="1"/>
      <c r="C49" s="1"/>
      <c r="D49" s="1"/>
      <c r="E49" s="1"/>
      <c r="F49" s="1"/>
      <c r="G49" s="1"/>
      <c r="H49" s="1"/>
      <c r="I49" s="1"/>
      <c r="J49" s="1"/>
      <c r="K49" s="1"/>
      <c r="L49" s="1"/>
      <c r="M49" s="1"/>
      <c r="N49" s="1"/>
    </row>
    <row r="50" spans="1:14">
      <c r="A50" s="1"/>
      <c r="B50" s="1"/>
      <c r="C50" s="1"/>
      <c r="D50" s="1"/>
      <c r="E50" s="1"/>
      <c r="F50" s="1"/>
      <c r="G50" s="1"/>
      <c r="H50" s="1"/>
      <c r="I50" s="1"/>
      <c r="J50" s="1"/>
      <c r="K50" s="1"/>
      <c r="L50" s="1"/>
      <c r="M50" s="1"/>
      <c r="N50" s="1"/>
    </row>
    <row r="51" spans="1:14">
      <c r="A51" s="1"/>
      <c r="B51" s="1"/>
      <c r="C51" s="1"/>
      <c r="D51" s="1"/>
      <c r="E51" s="1"/>
      <c r="F51" s="1"/>
      <c r="G51" s="1"/>
      <c r="H51" s="1"/>
      <c r="I51" s="1"/>
      <c r="J51" s="1"/>
      <c r="K51" s="1"/>
      <c r="L51" s="1"/>
      <c r="M51" s="1"/>
      <c r="N51" s="1"/>
    </row>
    <row r="52" spans="1:14">
      <c r="A52" s="1"/>
      <c r="B52" s="1"/>
      <c r="C52" s="1"/>
      <c r="D52" s="1"/>
      <c r="E52" s="1"/>
      <c r="F52" s="1"/>
      <c r="G52" s="1"/>
      <c r="H52" s="1"/>
      <c r="I52" s="1"/>
      <c r="J52" s="1"/>
      <c r="K52" s="1"/>
      <c r="L52" s="1"/>
      <c r="M52" s="1"/>
      <c r="N52" s="1"/>
    </row>
    <row r="53" spans="1:14">
      <c r="A53" s="1"/>
      <c r="B53" s="1"/>
      <c r="C53" s="1"/>
      <c r="D53" s="1"/>
      <c r="E53" s="1"/>
      <c r="F53" s="1"/>
      <c r="G53" s="1"/>
      <c r="H53" s="1"/>
      <c r="I53" s="1"/>
      <c r="J53" s="1"/>
      <c r="K53" s="1"/>
      <c r="L53" s="1"/>
      <c r="M53" s="1"/>
      <c r="N53" s="1"/>
    </row>
    <row r="54" spans="1:14">
      <c r="A54" s="1"/>
      <c r="B54" s="1"/>
      <c r="C54" s="1"/>
      <c r="D54" s="1"/>
      <c r="E54" s="1"/>
      <c r="F54" s="1"/>
      <c r="G54" s="1"/>
      <c r="H54" s="1"/>
      <c r="I54" s="1"/>
      <c r="J54" s="1"/>
      <c r="K54" s="1"/>
      <c r="L54" s="1"/>
      <c r="M54" s="1"/>
      <c r="N54" s="1"/>
    </row>
    <row r="55" spans="1:14">
      <c r="A55" s="1"/>
      <c r="B55" s="1"/>
      <c r="C55" s="1"/>
      <c r="D55" s="1"/>
      <c r="E55" s="1"/>
      <c r="F55" s="1"/>
      <c r="G55" s="1"/>
      <c r="H55" s="1"/>
      <c r="I55" s="1"/>
      <c r="J55" s="1"/>
      <c r="K55" s="1"/>
      <c r="L55" s="1"/>
      <c r="M55" s="1"/>
      <c r="N55" s="1"/>
    </row>
    <row r="56" spans="1:14">
      <c r="A56" s="1"/>
      <c r="B56" s="1"/>
      <c r="C56" s="1"/>
      <c r="D56" s="1"/>
      <c r="E56" s="1"/>
      <c r="F56" s="1"/>
      <c r="G56" s="1"/>
      <c r="H56" s="1"/>
      <c r="I56" s="1"/>
      <c r="J56" s="1"/>
      <c r="K56" s="1"/>
      <c r="L56" s="1"/>
      <c r="M56" s="1"/>
      <c r="N56" s="1"/>
    </row>
    <row r="57" spans="1:14">
      <c r="A57" s="1"/>
      <c r="B57" s="1"/>
      <c r="C57" s="1"/>
      <c r="D57" s="1"/>
      <c r="E57" s="1"/>
      <c r="F57" s="1"/>
      <c r="G57" s="1"/>
      <c r="H57" s="1"/>
      <c r="I57" s="1"/>
      <c r="J57" s="1"/>
      <c r="K57" s="1"/>
      <c r="L57" s="1"/>
      <c r="M57" s="1"/>
      <c r="N57" s="1"/>
    </row>
    <row r="58" spans="1:14">
      <c r="A58" s="1"/>
      <c r="B58" s="1"/>
      <c r="C58" s="1"/>
      <c r="D58" s="1"/>
      <c r="E58" s="1"/>
      <c r="F58" s="1"/>
      <c r="G58" s="1"/>
      <c r="H58" s="1"/>
      <c r="I58" s="1"/>
      <c r="J58" s="1"/>
      <c r="K58" s="1"/>
      <c r="L58" s="1"/>
      <c r="M58" s="1"/>
      <c r="N58" s="1"/>
    </row>
    <row r="59" spans="1:14">
      <c r="A59" s="1"/>
      <c r="B59" s="1"/>
      <c r="C59" s="1"/>
      <c r="D59" s="1"/>
      <c r="E59" s="1"/>
      <c r="F59" s="1"/>
      <c r="G59" s="1"/>
      <c r="H59" s="1"/>
      <c r="I59" s="1"/>
      <c r="J59" s="1"/>
      <c r="K59" s="1"/>
      <c r="L59" s="1"/>
      <c r="M59" s="1"/>
      <c r="N59" s="1"/>
    </row>
    <row r="60" spans="1:14">
      <c r="A60" s="1"/>
      <c r="B60" s="1"/>
      <c r="C60" s="1"/>
      <c r="D60" s="1"/>
      <c r="E60" s="1"/>
      <c r="F60" s="1"/>
      <c r="G60" s="1"/>
      <c r="H60" s="1"/>
      <c r="I60" s="1"/>
      <c r="J60" s="1"/>
      <c r="K60" s="1"/>
      <c r="L60" s="1"/>
      <c r="M60" s="1"/>
      <c r="N60" s="1"/>
    </row>
    <row r="61" spans="1:14">
      <c r="A61" s="1"/>
      <c r="B61" s="1"/>
      <c r="C61" s="1"/>
      <c r="D61" s="1"/>
      <c r="E61" s="1"/>
      <c r="F61" s="1"/>
      <c r="G61" s="1"/>
      <c r="H61" s="1"/>
      <c r="I61" s="1"/>
      <c r="J61" s="1"/>
      <c r="K61" s="1"/>
      <c r="L61" s="1"/>
      <c r="M61" s="1"/>
      <c r="N61" s="1"/>
    </row>
    <row r="62" spans="1:14">
      <c r="A62" s="1"/>
      <c r="B62" s="1"/>
      <c r="C62" s="1"/>
      <c r="D62" s="1"/>
      <c r="E62" s="1"/>
      <c r="F62" s="1"/>
      <c r="G62" s="1"/>
      <c r="H62" s="1"/>
      <c r="I62" s="1"/>
      <c r="J62" s="1"/>
      <c r="K62" s="1"/>
      <c r="L62" s="1"/>
      <c r="M62" s="1"/>
      <c r="N62" s="1"/>
    </row>
    <row r="63" spans="1:14">
      <c r="A63" s="1"/>
      <c r="B63" s="1"/>
      <c r="C63" s="1"/>
      <c r="D63" s="1"/>
      <c r="E63" s="1"/>
      <c r="F63" s="1"/>
      <c r="G63" s="1"/>
      <c r="H63" s="1"/>
      <c r="I63" s="1"/>
      <c r="J63" s="1"/>
      <c r="K63" s="1"/>
      <c r="L63" s="1"/>
      <c r="M63" s="1"/>
      <c r="N63" s="1"/>
    </row>
    <row r="64" spans="1:14">
      <c r="A64" s="1"/>
      <c r="B64" s="1"/>
      <c r="C64" s="1"/>
      <c r="D64" s="1"/>
      <c r="E64" s="1"/>
      <c r="F64" s="1"/>
      <c r="G64" s="1"/>
      <c r="H64" s="1"/>
      <c r="I64" s="1"/>
      <c r="J64" s="1"/>
      <c r="K64" s="1"/>
      <c r="L64" s="1"/>
      <c r="M64" s="1"/>
      <c r="N64" s="1"/>
    </row>
    <row r="65" spans="1:14">
      <c r="A65" s="1"/>
      <c r="B65" s="1"/>
      <c r="C65" s="1"/>
      <c r="D65" s="1"/>
      <c r="E65" s="1"/>
      <c r="F65" s="1"/>
      <c r="G65" s="1"/>
      <c r="H65" s="1"/>
      <c r="I65" s="1"/>
      <c r="J65" s="1"/>
      <c r="K65" s="1"/>
      <c r="L65" s="1"/>
      <c r="M65" s="1"/>
      <c r="N65" s="1"/>
    </row>
  </sheetData>
  <mergeCells count="34">
    <mergeCell ref="A35:B35"/>
    <mergeCell ref="C35:D35"/>
    <mergeCell ref="A36:B36"/>
    <mergeCell ref="C36:D36"/>
    <mergeCell ref="A37:B37"/>
    <mergeCell ref="C37:D37"/>
    <mergeCell ref="A32:B32"/>
    <mergeCell ref="C32:D32"/>
    <mergeCell ref="A33:B33"/>
    <mergeCell ref="C33:D33"/>
    <mergeCell ref="A34:B34"/>
    <mergeCell ref="C34:D34"/>
    <mergeCell ref="F7:G7"/>
    <mergeCell ref="H7:K7"/>
    <mergeCell ref="A8:B8"/>
    <mergeCell ref="C8:E8"/>
    <mergeCell ref="F8:G8"/>
    <mergeCell ref="H8:K8"/>
    <mergeCell ref="A2:K2"/>
    <mergeCell ref="A30:B30"/>
    <mergeCell ref="A4:B4"/>
    <mergeCell ref="C4:E4"/>
    <mergeCell ref="F4:G4"/>
    <mergeCell ref="H4:K4"/>
    <mergeCell ref="A5:B5"/>
    <mergeCell ref="C5:E5"/>
    <mergeCell ref="F5:G5"/>
    <mergeCell ref="H5:K5"/>
    <mergeCell ref="A6:B6"/>
    <mergeCell ref="C6:E6"/>
    <mergeCell ref="F6:G6"/>
    <mergeCell ref="H6:K6"/>
    <mergeCell ref="A7:B7"/>
    <mergeCell ref="C7:E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25"/>
  <sheetViews>
    <sheetView tabSelected="1" workbookViewId="0">
      <selection activeCell="E7" sqref="E7:F7"/>
    </sheetView>
  </sheetViews>
  <sheetFormatPr defaultRowHeight="13.8"/>
  <cols>
    <col min="1" max="1" width="15" customWidth="1"/>
    <col min="2" max="5" width="16" customWidth="1"/>
    <col min="6" max="17" width="20" customWidth="1"/>
    <col min="23" max="24" width="20" customWidth="1"/>
    <col min="25" max="26" width="38" customWidth="1"/>
    <col min="27" max="27" width="16" customWidth="1"/>
  </cols>
  <sheetData>
    <row r="1" spans="1:27">
      <c r="A1" s="1"/>
      <c r="B1" s="1"/>
      <c r="C1" s="1"/>
      <c r="D1" s="1"/>
      <c r="E1" s="1"/>
      <c r="F1" s="1"/>
      <c r="G1" s="1"/>
      <c r="H1" s="1"/>
      <c r="I1" s="1"/>
      <c r="J1" s="1"/>
      <c r="K1" s="1"/>
      <c r="L1" s="1"/>
      <c r="M1" s="1"/>
      <c r="N1" s="1"/>
      <c r="O1" s="1"/>
      <c r="P1" s="1"/>
      <c r="Q1" s="1"/>
    </row>
    <row r="2" spans="1:27" ht="22.35" customHeight="1">
      <c r="A2" s="122" t="s">
        <v>199</v>
      </c>
      <c r="B2" s="123"/>
      <c r="C2" s="124" t="s">
        <v>71</v>
      </c>
      <c r="D2" s="124"/>
      <c r="E2" s="18"/>
      <c r="F2" s="123" t="s">
        <v>63</v>
      </c>
      <c r="G2" s="123"/>
      <c r="H2" s="124" t="s">
        <v>70</v>
      </c>
      <c r="I2" s="124"/>
      <c r="J2" s="124"/>
      <c r="K2" s="124"/>
      <c r="L2" s="124"/>
      <c r="M2" s="124"/>
      <c r="N2" s="124"/>
      <c r="O2" s="124"/>
      <c r="P2" s="124"/>
      <c r="Q2" s="125"/>
      <c r="W2" s="138" t="s">
        <v>200</v>
      </c>
      <c r="X2" s="138"/>
      <c r="Y2" s="138"/>
      <c r="Z2" s="138"/>
      <c r="AA2" s="138"/>
    </row>
    <row r="3" spans="1:27" ht="22.35" customHeight="1">
      <c r="A3" s="126" t="s">
        <v>201</v>
      </c>
      <c r="B3" s="127"/>
      <c r="C3" s="128" t="s">
        <v>37</v>
      </c>
      <c r="D3" s="128"/>
      <c r="E3" s="1"/>
      <c r="F3" s="127" t="s">
        <v>202</v>
      </c>
      <c r="G3" s="127"/>
      <c r="H3" s="128"/>
      <c r="I3" s="128"/>
      <c r="J3" s="128"/>
      <c r="K3" s="128"/>
      <c r="L3" s="128"/>
      <c r="M3" s="128"/>
      <c r="N3" s="128"/>
      <c r="O3" s="128"/>
      <c r="P3" s="128"/>
      <c r="Q3" s="129"/>
      <c r="W3" s="65" t="s">
        <v>203</v>
      </c>
      <c r="X3" s="66" t="s">
        <v>204</v>
      </c>
      <c r="Y3" s="66" t="s">
        <v>205</v>
      </c>
      <c r="Z3" s="66" t="s">
        <v>206</v>
      </c>
      <c r="AA3" s="67" t="s">
        <v>207</v>
      </c>
    </row>
    <row r="4" spans="1:27" ht="30.45" customHeight="1">
      <c r="A4" s="126" t="s">
        <v>208</v>
      </c>
      <c r="B4" s="127"/>
      <c r="C4" s="128" t="s">
        <v>209</v>
      </c>
      <c r="D4" s="128"/>
      <c r="E4" s="128"/>
      <c r="F4" s="128"/>
      <c r="G4" s="128"/>
      <c r="H4" s="128"/>
      <c r="I4" s="128"/>
      <c r="J4" s="128"/>
      <c r="K4" s="128"/>
      <c r="L4" s="128"/>
      <c r="M4" s="128"/>
      <c r="N4" s="128"/>
      <c r="O4" s="128"/>
      <c r="P4" s="128"/>
      <c r="Q4" s="129"/>
      <c r="W4" s="68" t="s">
        <v>210</v>
      </c>
      <c r="X4" s="69" t="s">
        <v>211</v>
      </c>
      <c r="Y4" s="69" t="s">
        <v>212</v>
      </c>
      <c r="Z4" s="69" t="s">
        <v>213</v>
      </c>
      <c r="AA4" s="70" t="s">
        <v>214</v>
      </c>
    </row>
    <row r="5" spans="1:27" ht="30.45" customHeight="1">
      <c r="A5" s="126" t="s">
        <v>215</v>
      </c>
      <c r="B5" s="127"/>
      <c r="C5" s="128" t="s">
        <v>68</v>
      </c>
      <c r="D5" s="128"/>
      <c r="E5" s="128"/>
      <c r="F5" s="128"/>
      <c r="G5" s="128"/>
      <c r="H5" s="128"/>
      <c r="I5" s="128"/>
      <c r="J5" s="128"/>
      <c r="K5" s="128"/>
      <c r="L5" s="128"/>
      <c r="M5" s="128"/>
      <c r="N5" s="128"/>
      <c r="O5" s="128"/>
      <c r="P5" s="128"/>
      <c r="Q5" s="129"/>
      <c r="W5" s="68" t="s">
        <v>216</v>
      </c>
      <c r="X5" s="69" t="s">
        <v>217</v>
      </c>
      <c r="Y5" s="69" t="s">
        <v>218</v>
      </c>
      <c r="Z5" s="69" t="s">
        <v>219</v>
      </c>
      <c r="AA5" s="70" t="s">
        <v>220</v>
      </c>
    </row>
    <row r="6" spans="1:27" ht="30.45" customHeight="1">
      <c r="A6" s="130" t="s">
        <v>173</v>
      </c>
      <c r="B6" s="131"/>
      <c r="C6" s="131" t="s">
        <v>174</v>
      </c>
      <c r="D6" s="131"/>
      <c r="E6" s="131" t="s">
        <v>175</v>
      </c>
      <c r="F6" s="131"/>
      <c r="G6" s="131" t="s">
        <v>180</v>
      </c>
      <c r="H6" s="131"/>
      <c r="I6" s="131" t="s">
        <v>184</v>
      </c>
      <c r="J6" s="131"/>
      <c r="K6" s="131" t="s">
        <v>185</v>
      </c>
      <c r="L6" s="131"/>
      <c r="M6" s="131" t="s">
        <v>186</v>
      </c>
      <c r="N6" s="131"/>
      <c r="O6" s="131" t="s">
        <v>187</v>
      </c>
      <c r="P6" s="131"/>
      <c r="Q6" s="132"/>
      <c r="W6" s="68" t="s">
        <v>221</v>
      </c>
      <c r="X6" s="69" t="s">
        <v>222</v>
      </c>
      <c r="Y6" s="69" t="s">
        <v>223</v>
      </c>
      <c r="Z6" s="69" t="s">
        <v>224</v>
      </c>
      <c r="AA6" s="70" t="s">
        <v>225</v>
      </c>
    </row>
    <row r="7" spans="1:27" ht="30.45" customHeight="1">
      <c r="A7" s="133">
        <f>COUNTIF(F22:Q22,"Passed")</f>
        <v>1</v>
      </c>
      <c r="B7" s="134"/>
      <c r="C7" s="134">
        <f>COUNTIF(F22:Q22,"Failed")</f>
        <v>1</v>
      </c>
      <c r="D7" s="134"/>
      <c r="E7" s="134">
        <f>COUNTIF(F22:Q22,"Blocked")</f>
        <v>1</v>
      </c>
      <c r="F7" s="134"/>
      <c r="G7" s="134">
        <f>12-A7-C7-E7</f>
        <v>9</v>
      </c>
      <c r="H7" s="134"/>
      <c r="I7" s="134">
        <f>COUNTIF(F21:Q21,"N")</f>
        <v>5</v>
      </c>
      <c r="J7" s="134"/>
      <c r="K7" s="134">
        <f>COUNTIF(F21:Q21,"A")</f>
        <v>5</v>
      </c>
      <c r="L7" s="134"/>
      <c r="M7" s="134">
        <f>COUNTIF(F21:Q21,"B")</f>
        <v>2</v>
      </c>
      <c r="N7" s="134"/>
      <c r="O7" s="134">
        <v>12</v>
      </c>
      <c r="P7" s="134"/>
      <c r="Q7" s="135"/>
      <c r="W7" s="68" t="s">
        <v>226</v>
      </c>
      <c r="X7" s="69" t="s">
        <v>227</v>
      </c>
      <c r="Y7" s="69" t="s">
        <v>228</v>
      </c>
      <c r="Z7" s="69" t="s">
        <v>229</v>
      </c>
      <c r="AA7" s="70" t="s">
        <v>230</v>
      </c>
    </row>
    <row r="8" spans="1:27" ht="30.45" customHeight="1">
      <c r="A8" s="1"/>
      <c r="B8" s="1"/>
      <c r="C8" s="1"/>
      <c r="D8" s="1"/>
      <c r="E8" s="1"/>
      <c r="F8" s="1"/>
      <c r="G8" s="1"/>
      <c r="H8" s="1"/>
      <c r="I8" s="1"/>
      <c r="J8" s="1"/>
      <c r="K8" s="1"/>
      <c r="L8" s="1"/>
      <c r="M8" s="1"/>
      <c r="N8" s="1"/>
      <c r="O8" s="1"/>
      <c r="P8" s="1"/>
      <c r="Q8" s="1"/>
      <c r="W8" s="71" t="s">
        <v>231</v>
      </c>
      <c r="X8" s="72" t="s">
        <v>232</v>
      </c>
      <c r="Y8" s="72" t="s">
        <v>233</v>
      </c>
      <c r="Z8" s="72" t="s">
        <v>234</v>
      </c>
      <c r="AA8" s="73" t="s">
        <v>235</v>
      </c>
    </row>
    <row r="9" spans="1:27" ht="35.25" customHeight="1">
      <c r="A9" s="42"/>
      <c r="B9" s="43"/>
      <c r="C9" s="43"/>
      <c r="D9" s="43"/>
      <c r="E9" s="43"/>
      <c r="F9" s="43" t="s">
        <v>71</v>
      </c>
      <c r="G9" s="43" t="s">
        <v>236</v>
      </c>
      <c r="H9" s="43" t="s">
        <v>237</v>
      </c>
      <c r="I9" s="43" t="s">
        <v>238</v>
      </c>
      <c r="J9" s="43" t="s">
        <v>239</v>
      </c>
      <c r="K9" s="43" t="s">
        <v>240</v>
      </c>
      <c r="L9" s="43" t="s">
        <v>241</v>
      </c>
      <c r="M9" s="43" t="s">
        <v>242</v>
      </c>
      <c r="N9" s="43" t="s">
        <v>243</v>
      </c>
      <c r="O9" s="43" t="s">
        <v>244</v>
      </c>
      <c r="P9" s="43" t="s">
        <v>245</v>
      </c>
      <c r="Q9" s="44" t="s">
        <v>246</v>
      </c>
      <c r="W9" s="139" t="s">
        <v>247</v>
      </c>
      <c r="X9" s="140"/>
      <c r="Y9" s="140"/>
      <c r="Z9" s="140"/>
      <c r="AA9" s="141"/>
    </row>
    <row r="10" spans="1:27" ht="38.4" customHeight="1">
      <c r="A10" s="136" t="s">
        <v>248</v>
      </c>
      <c r="B10" s="41" t="s">
        <v>249</v>
      </c>
      <c r="C10" s="41"/>
      <c r="D10" s="41"/>
      <c r="E10" s="41"/>
      <c r="F10" s="3" t="s">
        <v>250</v>
      </c>
      <c r="G10" s="3" t="s">
        <v>251</v>
      </c>
      <c r="H10" s="3" t="s">
        <v>252</v>
      </c>
      <c r="I10" s="3" t="s">
        <v>214</v>
      </c>
      <c r="J10" s="3" t="s">
        <v>253</v>
      </c>
      <c r="K10" s="3" t="s">
        <v>254</v>
      </c>
      <c r="L10" s="3" t="s">
        <v>255</v>
      </c>
      <c r="M10" s="3" t="s">
        <v>256</v>
      </c>
      <c r="N10" s="3" t="s">
        <v>257</v>
      </c>
      <c r="O10" s="3" t="s">
        <v>258</v>
      </c>
      <c r="P10" s="3" t="s">
        <v>259</v>
      </c>
      <c r="Q10" s="7" t="s">
        <v>260</v>
      </c>
    </row>
    <row r="11" spans="1:27" ht="35.25" customHeight="1">
      <c r="A11" s="136"/>
      <c r="B11" s="41" t="s">
        <v>261</v>
      </c>
      <c r="C11" s="41"/>
      <c r="D11" s="41"/>
      <c r="E11" s="41"/>
      <c r="F11" s="3" t="s">
        <v>262</v>
      </c>
      <c r="G11" s="3" t="s">
        <v>263</v>
      </c>
      <c r="H11" s="3" t="s">
        <v>264</v>
      </c>
      <c r="I11" s="3" t="s">
        <v>265</v>
      </c>
      <c r="J11" s="3" t="s">
        <v>266</v>
      </c>
      <c r="K11" s="3" t="s">
        <v>267</v>
      </c>
      <c r="L11" s="3" t="s">
        <v>268</v>
      </c>
      <c r="M11" s="3" t="s">
        <v>269</v>
      </c>
      <c r="N11" s="3" t="s">
        <v>270</v>
      </c>
      <c r="O11" s="3" t="s">
        <v>271</v>
      </c>
      <c r="P11" s="3" t="s">
        <v>272</v>
      </c>
      <c r="Q11" s="7" t="s">
        <v>273</v>
      </c>
    </row>
    <row r="12" spans="1:27" ht="22.35" customHeight="1">
      <c r="A12" s="136"/>
      <c r="B12" s="41" t="s">
        <v>274</v>
      </c>
      <c r="C12" s="41"/>
      <c r="D12" s="41"/>
      <c r="E12" s="41"/>
      <c r="F12" s="3" t="s">
        <v>275</v>
      </c>
      <c r="G12" s="3" t="s">
        <v>276</v>
      </c>
      <c r="H12" s="3" t="s">
        <v>277</v>
      </c>
      <c r="I12" s="3" t="s">
        <v>278</v>
      </c>
      <c r="J12" s="3" t="s">
        <v>279</v>
      </c>
      <c r="K12" s="3" t="s">
        <v>280</v>
      </c>
      <c r="L12" s="3" t="s">
        <v>281</v>
      </c>
      <c r="M12" s="3" t="s">
        <v>282</v>
      </c>
      <c r="N12" s="3" t="s">
        <v>283</v>
      </c>
      <c r="O12" s="3" t="s">
        <v>284</v>
      </c>
      <c r="P12" s="3" t="s">
        <v>285</v>
      </c>
      <c r="Q12" s="7" t="s">
        <v>286</v>
      </c>
      <c r="W12" s="138" t="s">
        <v>287</v>
      </c>
      <c r="X12" s="138"/>
      <c r="Y12" s="138"/>
      <c r="Z12" s="138"/>
      <c r="AA12" s="138"/>
    </row>
    <row r="13" spans="1:27" ht="22.35" customHeight="1">
      <c r="A13" s="136"/>
      <c r="B13" s="41" t="s">
        <v>288</v>
      </c>
      <c r="C13" s="41"/>
      <c r="D13" s="41"/>
      <c r="E13" s="41"/>
      <c r="F13" s="3" t="s">
        <v>289</v>
      </c>
      <c r="G13" s="3" t="s">
        <v>290</v>
      </c>
      <c r="H13" s="3" t="s">
        <v>291</v>
      </c>
      <c r="I13" s="3" t="s">
        <v>292</v>
      </c>
      <c r="J13" s="3" t="s">
        <v>293</v>
      </c>
      <c r="K13" s="3" t="s">
        <v>294</v>
      </c>
      <c r="L13" s="3" t="s">
        <v>295</v>
      </c>
      <c r="M13" s="3" t="s">
        <v>283</v>
      </c>
      <c r="N13" s="3" t="s">
        <v>296</v>
      </c>
      <c r="O13" s="3" t="s">
        <v>297</v>
      </c>
      <c r="P13" s="3" t="s">
        <v>298</v>
      </c>
      <c r="Q13" s="7" t="s">
        <v>292</v>
      </c>
      <c r="W13" s="65" t="s">
        <v>299</v>
      </c>
      <c r="X13" s="66" t="s">
        <v>300</v>
      </c>
      <c r="Y13" s="66" t="s">
        <v>301</v>
      </c>
      <c r="Z13" s="66" t="s">
        <v>302</v>
      </c>
      <c r="AA13" s="67" t="s">
        <v>303</v>
      </c>
    </row>
    <row r="14" spans="1:27" ht="30.45" customHeight="1">
      <c r="A14" s="136" t="s">
        <v>304</v>
      </c>
      <c r="B14" s="41" t="s">
        <v>305</v>
      </c>
      <c r="C14" s="41"/>
      <c r="D14" s="41"/>
      <c r="E14" s="41"/>
      <c r="F14" s="3" t="s">
        <v>306</v>
      </c>
      <c r="G14" s="3" t="s">
        <v>306</v>
      </c>
      <c r="H14" s="3" t="s">
        <v>307</v>
      </c>
      <c r="I14" s="3" t="s">
        <v>308</v>
      </c>
      <c r="J14" s="3" t="s">
        <v>309</v>
      </c>
      <c r="K14" s="3" t="s">
        <v>310</v>
      </c>
      <c r="L14" s="3" t="s">
        <v>310</v>
      </c>
      <c r="M14" s="3" t="s">
        <v>311</v>
      </c>
      <c r="N14" s="3" t="s">
        <v>312</v>
      </c>
      <c r="O14" s="3" t="s">
        <v>313</v>
      </c>
      <c r="P14" s="3" t="s">
        <v>314</v>
      </c>
      <c r="Q14" s="7" t="s">
        <v>315</v>
      </c>
      <c r="W14" s="74">
        <v>1</v>
      </c>
      <c r="X14" s="76" t="s">
        <v>316</v>
      </c>
      <c r="Y14" s="69" t="s">
        <v>317</v>
      </c>
      <c r="Z14" s="69" t="s">
        <v>318</v>
      </c>
      <c r="AA14" s="78" t="s">
        <v>71</v>
      </c>
    </row>
    <row r="15" spans="1:27" ht="30.45" customHeight="1">
      <c r="A15" s="136"/>
      <c r="B15" s="41" t="s">
        <v>319</v>
      </c>
      <c r="C15" s="41"/>
      <c r="D15" s="41"/>
      <c r="E15" s="41"/>
      <c r="F15" s="3" t="s">
        <v>320</v>
      </c>
      <c r="G15" s="3" t="s">
        <v>321</v>
      </c>
      <c r="H15" s="3" t="s">
        <v>322</v>
      </c>
      <c r="I15" s="3" t="s">
        <v>323</v>
      </c>
      <c r="J15" s="3" t="s">
        <v>324</v>
      </c>
      <c r="K15" s="3" t="s">
        <v>325</v>
      </c>
      <c r="L15" s="3" t="s">
        <v>326</v>
      </c>
      <c r="M15" s="3" t="s">
        <v>327</v>
      </c>
      <c r="N15" s="3" t="s">
        <v>328</v>
      </c>
      <c r="O15" s="3" t="s">
        <v>329</v>
      </c>
      <c r="P15" s="3" t="s">
        <v>330</v>
      </c>
      <c r="Q15" s="7" t="s">
        <v>331</v>
      </c>
      <c r="W15" s="74">
        <v>2</v>
      </c>
      <c r="X15" s="76" t="s">
        <v>332</v>
      </c>
      <c r="Y15" s="69" t="s">
        <v>333</v>
      </c>
      <c r="Z15" s="69" t="s">
        <v>334</v>
      </c>
      <c r="AA15" s="78" t="s">
        <v>236</v>
      </c>
    </row>
    <row r="16" spans="1:27" ht="30.45" customHeight="1">
      <c r="A16" s="136"/>
      <c r="B16" s="41" t="s">
        <v>335</v>
      </c>
      <c r="C16" s="41"/>
      <c r="D16" s="41"/>
      <c r="E16" s="41"/>
      <c r="F16" s="3" t="s">
        <v>323</v>
      </c>
      <c r="G16" s="3" t="s">
        <v>323</v>
      </c>
      <c r="H16" s="3" t="s">
        <v>323</v>
      </c>
      <c r="I16" s="3" t="s">
        <v>336</v>
      </c>
      <c r="J16" s="3" t="s">
        <v>337</v>
      </c>
      <c r="K16" s="3" t="s">
        <v>338</v>
      </c>
      <c r="L16" s="3" t="s">
        <v>339</v>
      </c>
      <c r="M16" s="3" t="s">
        <v>340</v>
      </c>
      <c r="N16" s="3" t="s">
        <v>341</v>
      </c>
      <c r="O16" s="3" t="s">
        <v>327</v>
      </c>
      <c r="P16" s="3" t="s">
        <v>342</v>
      </c>
      <c r="Q16" s="7" t="s">
        <v>343</v>
      </c>
      <c r="W16" s="74">
        <v>3</v>
      </c>
      <c r="X16" s="76" t="s">
        <v>332</v>
      </c>
      <c r="Y16" s="69" t="s">
        <v>344</v>
      </c>
      <c r="Z16" s="69" t="s">
        <v>345</v>
      </c>
      <c r="AA16" s="78" t="s">
        <v>237</v>
      </c>
    </row>
    <row r="17" spans="1:27" ht="30.45" customHeight="1">
      <c r="A17" s="136"/>
      <c r="B17" s="41" t="s">
        <v>346</v>
      </c>
      <c r="C17" s="41"/>
      <c r="D17" s="41"/>
      <c r="E17" s="41"/>
      <c r="F17" s="3" t="s">
        <v>347</v>
      </c>
      <c r="G17" s="3" t="s">
        <v>348</v>
      </c>
      <c r="H17" s="3" t="s">
        <v>349</v>
      </c>
      <c r="I17" s="3" t="s">
        <v>350</v>
      </c>
      <c r="J17" s="3" t="s">
        <v>351</v>
      </c>
      <c r="K17" s="3" t="s">
        <v>352</v>
      </c>
      <c r="L17" s="3" t="s">
        <v>348</v>
      </c>
      <c r="M17" s="3" t="s">
        <v>353</v>
      </c>
      <c r="N17" s="3" t="s">
        <v>354</v>
      </c>
      <c r="O17" s="3" t="s">
        <v>349</v>
      </c>
      <c r="P17" s="3" t="s">
        <v>355</v>
      </c>
      <c r="Q17" s="7" t="s">
        <v>356</v>
      </c>
      <c r="W17" s="74">
        <v>4</v>
      </c>
      <c r="X17" s="76" t="s">
        <v>357</v>
      </c>
      <c r="Y17" s="69" t="s">
        <v>358</v>
      </c>
      <c r="Z17" s="69" t="s">
        <v>359</v>
      </c>
      <c r="AA17" s="78" t="s">
        <v>238</v>
      </c>
    </row>
    <row r="18" spans="1:27" ht="30.45" customHeight="1">
      <c r="A18" s="136"/>
      <c r="B18" s="41" t="s">
        <v>302</v>
      </c>
      <c r="C18" s="41"/>
      <c r="D18" s="41"/>
      <c r="E18" s="41"/>
      <c r="F18" s="3" t="s">
        <v>318</v>
      </c>
      <c r="G18" s="3" t="s">
        <v>334</v>
      </c>
      <c r="H18" s="3" t="s">
        <v>345</v>
      </c>
      <c r="I18" s="3" t="s">
        <v>359</v>
      </c>
      <c r="J18" s="3" t="s">
        <v>360</v>
      </c>
      <c r="K18" s="3" t="s">
        <v>361</v>
      </c>
      <c r="L18" s="3" t="s">
        <v>362</v>
      </c>
      <c r="M18" s="3" t="s">
        <v>363</v>
      </c>
      <c r="N18" s="3" t="s">
        <v>364</v>
      </c>
      <c r="O18" s="3" t="s">
        <v>365</v>
      </c>
      <c r="P18" s="3" t="s">
        <v>366</v>
      </c>
      <c r="Q18" s="7" t="s">
        <v>367</v>
      </c>
      <c r="W18" s="74">
        <v>5</v>
      </c>
      <c r="X18" s="76" t="s">
        <v>316</v>
      </c>
      <c r="Y18" s="69" t="s">
        <v>368</v>
      </c>
      <c r="Z18" s="69" t="s">
        <v>360</v>
      </c>
      <c r="AA18" s="78" t="s">
        <v>239</v>
      </c>
    </row>
    <row r="19" spans="1:27" ht="30.45" customHeight="1">
      <c r="A19" s="136"/>
      <c r="B19" s="41" t="s">
        <v>369</v>
      </c>
      <c r="C19" s="41"/>
      <c r="D19" s="41"/>
      <c r="E19" s="41"/>
      <c r="F19" s="3"/>
      <c r="G19" s="3" t="s">
        <v>370</v>
      </c>
      <c r="H19" s="3" t="s">
        <v>371</v>
      </c>
      <c r="I19" s="3" t="s">
        <v>372</v>
      </c>
      <c r="J19" s="3"/>
      <c r="K19" s="3"/>
      <c r="L19" s="3" t="s">
        <v>373</v>
      </c>
      <c r="M19" s="3" t="s">
        <v>374</v>
      </c>
      <c r="N19" s="3"/>
      <c r="O19" s="3" t="s">
        <v>375</v>
      </c>
      <c r="P19" s="3"/>
      <c r="Q19" s="7" t="s">
        <v>376</v>
      </c>
      <c r="W19" s="74">
        <v>6</v>
      </c>
      <c r="X19" s="76" t="s">
        <v>316</v>
      </c>
      <c r="Y19" s="69" t="s">
        <v>377</v>
      </c>
      <c r="Z19" s="69" t="s">
        <v>361</v>
      </c>
      <c r="AA19" s="78" t="s">
        <v>240</v>
      </c>
    </row>
    <row r="20" spans="1:27" ht="30.45" customHeight="1">
      <c r="A20" s="136"/>
      <c r="B20" s="41" t="s">
        <v>378</v>
      </c>
      <c r="C20" s="41"/>
      <c r="D20" s="41"/>
      <c r="E20" s="41"/>
      <c r="F20" s="3" t="s">
        <v>379</v>
      </c>
      <c r="G20" s="3" t="s">
        <v>380</v>
      </c>
      <c r="H20" s="3" t="s">
        <v>381</v>
      </c>
      <c r="I20" s="3" t="s">
        <v>382</v>
      </c>
      <c r="J20" s="3" t="s">
        <v>383</v>
      </c>
      <c r="K20" s="3" t="s">
        <v>384</v>
      </c>
      <c r="L20" s="3" t="s">
        <v>385</v>
      </c>
      <c r="M20" s="3" t="s">
        <v>386</v>
      </c>
      <c r="N20" s="3" t="s">
        <v>387</v>
      </c>
      <c r="O20" s="3" t="s">
        <v>388</v>
      </c>
      <c r="P20" s="3" t="s">
        <v>389</v>
      </c>
      <c r="Q20" s="7" t="s">
        <v>390</v>
      </c>
      <c r="W20" s="74">
        <v>7</v>
      </c>
      <c r="X20" s="76" t="s">
        <v>332</v>
      </c>
      <c r="Y20" s="69" t="s">
        <v>391</v>
      </c>
      <c r="Z20" s="69" t="s">
        <v>362</v>
      </c>
      <c r="AA20" s="78" t="s">
        <v>241</v>
      </c>
    </row>
    <row r="21" spans="1:27" ht="30.45" customHeight="1">
      <c r="A21" s="136" t="s">
        <v>392</v>
      </c>
      <c r="B21" s="41" t="s">
        <v>393</v>
      </c>
      <c r="C21" s="41"/>
      <c r="D21" s="41"/>
      <c r="E21" s="41"/>
      <c r="F21" s="48" t="s">
        <v>184</v>
      </c>
      <c r="G21" s="48" t="s">
        <v>185</v>
      </c>
      <c r="H21" s="48" t="s">
        <v>185</v>
      </c>
      <c r="I21" s="48" t="s">
        <v>186</v>
      </c>
      <c r="J21" s="48" t="s">
        <v>184</v>
      </c>
      <c r="K21" s="48" t="s">
        <v>184</v>
      </c>
      <c r="L21" s="48" t="s">
        <v>185</v>
      </c>
      <c r="M21" s="48" t="s">
        <v>186</v>
      </c>
      <c r="N21" s="48" t="s">
        <v>184</v>
      </c>
      <c r="O21" s="48" t="s">
        <v>185</v>
      </c>
      <c r="P21" s="48" t="s">
        <v>184</v>
      </c>
      <c r="Q21" s="49" t="s">
        <v>185</v>
      </c>
      <c r="W21" s="74">
        <v>8</v>
      </c>
      <c r="X21" s="76" t="s">
        <v>357</v>
      </c>
      <c r="Y21" s="69" t="s">
        <v>394</v>
      </c>
      <c r="Z21" s="69" t="s">
        <v>363</v>
      </c>
      <c r="AA21" s="78" t="s">
        <v>242</v>
      </c>
    </row>
    <row r="22" spans="1:27" ht="19.2" customHeight="1">
      <c r="A22" s="136"/>
      <c r="B22" s="83" t="s">
        <v>395</v>
      </c>
      <c r="C22" s="84"/>
      <c r="D22" s="84"/>
      <c r="E22" s="85"/>
      <c r="F22" s="86" t="s">
        <v>173</v>
      </c>
      <c r="G22" s="87" t="s">
        <v>174</v>
      </c>
      <c r="H22" s="87" t="s">
        <v>175</v>
      </c>
      <c r="I22" s="87"/>
      <c r="J22" s="87"/>
      <c r="K22" s="87"/>
      <c r="L22" s="87"/>
      <c r="M22" s="87"/>
      <c r="N22" s="87"/>
      <c r="O22" s="87"/>
      <c r="P22" s="87"/>
      <c r="Q22" s="88"/>
      <c r="W22" s="74">
        <v>9</v>
      </c>
      <c r="X22" s="76" t="s">
        <v>316</v>
      </c>
      <c r="Y22" s="69" t="s">
        <v>396</v>
      </c>
      <c r="Z22" s="69" t="s">
        <v>364</v>
      </c>
      <c r="AA22" s="78" t="s">
        <v>243</v>
      </c>
    </row>
    <row r="23" spans="1:27" ht="30.45" customHeight="1">
      <c r="A23" s="136"/>
      <c r="B23" s="41" t="s">
        <v>397</v>
      </c>
      <c r="C23" s="41"/>
      <c r="D23" s="41"/>
      <c r="E23" s="41"/>
      <c r="F23" s="50" t="s">
        <v>2878</v>
      </c>
      <c r="G23" s="50" t="s">
        <v>2878</v>
      </c>
      <c r="H23" s="50" t="s">
        <v>2878</v>
      </c>
      <c r="I23" s="50"/>
      <c r="J23" s="50"/>
      <c r="K23" s="50"/>
      <c r="L23" s="50"/>
      <c r="M23" s="50"/>
      <c r="N23" s="50"/>
      <c r="O23" s="50"/>
      <c r="P23" s="50"/>
      <c r="Q23" s="51"/>
      <c r="W23" s="74">
        <v>10</v>
      </c>
      <c r="X23" s="76" t="s">
        <v>332</v>
      </c>
      <c r="Y23" s="69" t="s">
        <v>398</v>
      </c>
      <c r="Z23" s="69" t="s">
        <v>365</v>
      </c>
      <c r="AA23" s="78" t="s">
        <v>244</v>
      </c>
    </row>
    <row r="24" spans="1:27" ht="30.45" customHeight="1">
      <c r="A24" s="137"/>
      <c r="B24" s="45" t="s">
        <v>399</v>
      </c>
      <c r="C24" s="45"/>
      <c r="D24" s="45"/>
      <c r="E24" s="45"/>
      <c r="F24" s="50" t="s">
        <v>2878</v>
      </c>
      <c r="G24" s="50" t="s">
        <v>2878</v>
      </c>
      <c r="H24" s="50" t="s">
        <v>2878</v>
      </c>
      <c r="I24" s="46"/>
      <c r="J24" s="46"/>
      <c r="K24" s="46"/>
      <c r="L24" s="46"/>
      <c r="M24" s="46"/>
      <c r="N24" s="46"/>
      <c r="O24" s="46"/>
      <c r="P24" s="46"/>
      <c r="Q24" s="47"/>
      <c r="W24" s="74">
        <v>11</v>
      </c>
      <c r="X24" s="76" t="s">
        <v>316</v>
      </c>
      <c r="Y24" s="69" t="s">
        <v>400</v>
      </c>
      <c r="Z24" s="69" t="s">
        <v>366</v>
      </c>
      <c r="AA24" s="78" t="s">
        <v>245</v>
      </c>
    </row>
    <row r="25" spans="1:27" ht="30.45" customHeight="1">
      <c r="W25" s="75">
        <v>12</v>
      </c>
      <c r="X25" s="77" t="s">
        <v>332</v>
      </c>
      <c r="Y25" s="72" t="s">
        <v>401</v>
      </c>
      <c r="Z25" s="72" t="s">
        <v>367</v>
      </c>
      <c r="AA25" s="79" t="s">
        <v>246</v>
      </c>
    </row>
  </sheetData>
  <mergeCells count="34">
    <mergeCell ref="A21:A24"/>
    <mergeCell ref="W2:AA2"/>
    <mergeCell ref="W9:AA9"/>
    <mergeCell ref="W12:AA12"/>
    <mergeCell ref="K7:L7"/>
    <mergeCell ref="M7:N7"/>
    <mergeCell ref="O7:Q7"/>
    <mergeCell ref="A10:A13"/>
    <mergeCell ref="A14:A20"/>
    <mergeCell ref="A7:B7"/>
    <mergeCell ref="C7:D7"/>
    <mergeCell ref="E7:F7"/>
    <mergeCell ref="G7:H7"/>
    <mergeCell ref="I7:J7"/>
    <mergeCell ref="A4:B4"/>
    <mergeCell ref="C4:Q4"/>
    <mergeCell ref="A5:B5"/>
    <mergeCell ref="C5:Q5"/>
    <mergeCell ref="A6:B6"/>
    <mergeCell ref="C6:D6"/>
    <mergeCell ref="E6:F6"/>
    <mergeCell ref="G6:H6"/>
    <mergeCell ref="I6:J6"/>
    <mergeCell ref="K6:L6"/>
    <mergeCell ref="M6:N6"/>
    <mergeCell ref="O6:Q6"/>
    <mergeCell ref="A2:B2"/>
    <mergeCell ref="C2:D2"/>
    <mergeCell ref="F2:G2"/>
    <mergeCell ref="H2:Q2"/>
    <mergeCell ref="A3:B3"/>
    <mergeCell ref="C3:D3"/>
    <mergeCell ref="F3:G3"/>
    <mergeCell ref="H3:Q3"/>
  </mergeCells>
  <conditionalFormatting sqref="F22:Q22">
    <cfRule type="expression" dxfId="50" priority="1">
      <formula>F22="Passed"</formula>
    </cfRule>
    <cfRule type="expression" dxfId="49" priority="2">
      <formula>F22="Failed"</formula>
    </cfRule>
    <cfRule type="expression" dxfId="48" priority="3">
      <formula>F22="Blocked"</formula>
    </cfRule>
  </conditionalFormatting>
  <dataValidations count="1">
    <dataValidation type="list" sqref="F22:Q22" xr:uid="{00000000-0002-0000-0400-000000000000}">
      <formula1>"Passed,Failed,Blocked"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24"/>
  <sheetViews>
    <sheetView workbookViewId="0">
      <selection activeCell="H2" sqref="H2:Q2"/>
    </sheetView>
  </sheetViews>
  <sheetFormatPr defaultRowHeight="13.8"/>
  <cols>
    <col min="1" max="1" width="15" customWidth="1"/>
    <col min="2" max="5" width="16" customWidth="1"/>
    <col min="6" max="17" width="20" customWidth="1"/>
    <col min="23" max="24" width="20" customWidth="1"/>
    <col min="25" max="26" width="38" customWidth="1"/>
    <col min="27" max="27" width="16" customWidth="1"/>
  </cols>
  <sheetData>
    <row r="1" spans="1:27">
      <c r="A1" s="1"/>
      <c r="B1" s="1"/>
      <c r="C1" s="1"/>
      <c r="D1" s="1"/>
      <c r="E1" s="1"/>
      <c r="F1" s="1"/>
      <c r="G1" s="1"/>
      <c r="H1" s="1"/>
      <c r="I1" s="1"/>
      <c r="J1" s="1"/>
      <c r="K1" s="1"/>
      <c r="L1" s="1"/>
      <c r="M1" s="1"/>
      <c r="N1" s="1"/>
      <c r="O1" s="1"/>
      <c r="P1" s="1"/>
      <c r="Q1" s="1"/>
    </row>
    <row r="2" spans="1:27" ht="22.35" customHeight="1">
      <c r="A2" s="122" t="s">
        <v>199</v>
      </c>
      <c r="B2" s="123"/>
      <c r="C2" s="124" t="s">
        <v>77</v>
      </c>
      <c r="D2" s="124"/>
      <c r="E2" s="18"/>
      <c r="F2" s="123" t="s">
        <v>63</v>
      </c>
      <c r="G2" s="123"/>
      <c r="H2" s="124" t="s">
        <v>76</v>
      </c>
      <c r="I2" s="124"/>
      <c r="J2" s="124"/>
      <c r="K2" s="124"/>
      <c r="L2" s="124"/>
      <c r="M2" s="124"/>
      <c r="N2" s="124"/>
      <c r="O2" s="124"/>
      <c r="P2" s="124"/>
      <c r="Q2" s="125"/>
      <c r="W2" s="138" t="s">
        <v>200</v>
      </c>
      <c r="X2" s="138"/>
      <c r="Y2" s="138"/>
      <c r="Z2" s="138"/>
      <c r="AA2" s="138"/>
    </row>
    <row r="3" spans="1:27" ht="22.35" customHeight="1">
      <c r="A3" s="126" t="s">
        <v>201</v>
      </c>
      <c r="B3" s="127"/>
      <c r="C3" s="128" t="s">
        <v>37</v>
      </c>
      <c r="D3" s="128"/>
      <c r="E3" s="1"/>
      <c r="F3" s="127" t="s">
        <v>202</v>
      </c>
      <c r="G3" s="127"/>
      <c r="H3" s="128"/>
      <c r="I3" s="128"/>
      <c r="J3" s="128"/>
      <c r="K3" s="128"/>
      <c r="L3" s="128"/>
      <c r="M3" s="128"/>
      <c r="N3" s="128"/>
      <c r="O3" s="128"/>
      <c r="P3" s="128"/>
      <c r="Q3" s="129"/>
      <c r="W3" s="65" t="s">
        <v>203</v>
      </c>
      <c r="X3" s="66" t="s">
        <v>204</v>
      </c>
      <c r="Y3" s="66" t="s">
        <v>205</v>
      </c>
      <c r="Z3" s="66" t="s">
        <v>206</v>
      </c>
      <c r="AA3" s="67" t="s">
        <v>207</v>
      </c>
    </row>
    <row r="4" spans="1:27" ht="30.45" customHeight="1">
      <c r="A4" s="126" t="s">
        <v>208</v>
      </c>
      <c r="B4" s="127"/>
      <c r="C4" s="128" t="s">
        <v>402</v>
      </c>
      <c r="D4" s="128"/>
      <c r="E4" s="128"/>
      <c r="F4" s="128"/>
      <c r="G4" s="128"/>
      <c r="H4" s="128"/>
      <c r="I4" s="128"/>
      <c r="J4" s="128"/>
      <c r="K4" s="128"/>
      <c r="L4" s="128"/>
      <c r="M4" s="128"/>
      <c r="N4" s="128"/>
      <c r="O4" s="128"/>
      <c r="P4" s="128"/>
      <c r="Q4" s="129"/>
      <c r="W4" s="68" t="s">
        <v>403</v>
      </c>
      <c r="X4" s="69" t="s">
        <v>404</v>
      </c>
      <c r="Y4" s="69" t="s">
        <v>405</v>
      </c>
      <c r="Z4" s="69" t="s">
        <v>406</v>
      </c>
      <c r="AA4" s="70" t="s">
        <v>407</v>
      </c>
    </row>
    <row r="5" spans="1:27" ht="30.45" customHeight="1">
      <c r="A5" s="126" t="s">
        <v>215</v>
      </c>
      <c r="B5" s="127"/>
      <c r="C5" s="128" t="s">
        <v>74</v>
      </c>
      <c r="D5" s="128"/>
      <c r="E5" s="128"/>
      <c r="F5" s="128"/>
      <c r="G5" s="128"/>
      <c r="H5" s="128"/>
      <c r="I5" s="128"/>
      <c r="J5" s="128"/>
      <c r="K5" s="128"/>
      <c r="L5" s="128"/>
      <c r="M5" s="128"/>
      <c r="N5" s="128"/>
      <c r="O5" s="128"/>
      <c r="P5" s="128"/>
      <c r="Q5" s="129"/>
      <c r="W5" s="68" t="s">
        <v>408</v>
      </c>
      <c r="X5" s="69" t="s">
        <v>409</v>
      </c>
      <c r="Y5" s="69" t="s">
        <v>410</v>
      </c>
      <c r="Z5" s="69" t="s">
        <v>411</v>
      </c>
      <c r="AA5" s="70" t="s">
        <v>412</v>
      </c>
    </row>
    <row r="6" spans="1:27" ht="30.45" customHeight="1">
      <c r="A6" s="130" t="s">
        <v>173</v>
      </c>
      <c r="B6" s="131"/>
      <c r="C6" s="131" t="s">
        <v>174</v>
      </c>
      <c r="D6" s="131"/>
      <c r="E6" s="131" t="s">
        <v>175</v>
      </c>
      <c r="F6" s="131"/>
      <c r="G6" s="131" t="s">
        <v>180</v>
      </c>
      <c r="H6" s="131"/>
      <c r="I6" s="131" t="s">
        <v>184</v>
      </c>
      <c r="J6" s="131"/>
      <c r="K6" s="131" t="s">
        <v>185</v>
      </c>
      <c r="L6" s="131"/>
      <c r="M6" s="131" t="s">
        <v>186</v>
      </c>
      <c r="N6" s="131"/>
      <c r="O6" s="131" t="s">
        <v>187</v>
      </c>
      <c r="P6" s="131"/>
      <c r="Q6" s="132"/>
      <c r="W6" s="68" t="s">
        <v>413</v>
      </c>
      <c r="X6" s="69" t="s">
        <v>414</v>
      </c>
      <c r="Y6" s="69" t="s">
        <v>415</v>
      </c>
      <c r="Z6" s="69" t="s">
        <v>416</v>
      </c>
      <c r="AA6" s="70" t="s">
        <v>417</v>
      </c>
    </row>
    <row r="7" spans="1:27" ht="30.45" customHeight="1">
      <c r="A7" s="133">
        <f>COUNTIF(F22:Q22,"Passed")</f>
        <v>0</v>
      </c>
      <c r="B7" s="134"/>
      <c r="C7" s="134">
        <f>COUNTIF(F22:Q22,"Failed")</f>
        <v>0</v>
      </c>
      <c r="D7" s="134"/>
      <c r="E7" s="134">
        <f>COUNTIF(F22:Q22,"Blocked")</f>
        <v>0</v>
      </c>
      <c r="F7" s="134"/>
      <c r="G7" s="134">
        <f>12-A7-C7-E7</f>
        <v>12</v>
      </c>
      <c r="H7" s="134"/>
      <c r="I7" s="134">
        <f>COUNTIF(F21:Q21,"N")</f>
        <v>7</v>
      </c>
      <c r="J7" s="134"/>
      <c r="K7" s="134">
        <f>COUNTIF(F21:Q21,"A")</f>
        <v>5</v>
      </c>
      <c r="L7" s="134"/>
      <c r="M7" s="134">
        <f>COUNTIF(F21:Q21,"B")</f>
        <v>0</v>
      </c>
      <c r="N7" s="134"/>
      <c r="O7" s="134">
        <v>12</v>
      </c>
      <c r="P7" s="134"/>
      <c r="Q7" s="135"/>
      <c r="W7" s="71" t="s">
        <v>418</v>
      </c>
      <c r="X7" s="72" t="s">
        <v>419</v>
      </c>
      <c r="Y7" s="72" t="s">
        <v>420</v>
      </c>
      <c r="Z7" s="72" t="s">
        <v>421</v>
      </c>
      <c r="AA7" s="73" t="s">
        <v>422</v>
      </c>
    </row>
    <row r="8" spans="1:27" ht="35.25" customHeight="1">
      <c r="A8" s="1"/>
      <c r="B8" s="1"/>
      <c r="C8" s="1"/>
      <c r="D8" s="1"/>
      <c r="E8" s="1"/>
      <c r="F8" s="1"/>
      <c r="G8" s="1"/>
      <c r="H8" s="1"/>
      <c r="I8" s="1"/>
      <c r="J8" s="1"/>
      <c r="K8" s="1"/>
      <c r="L8" s="1"/>
      <c r="M8" s="1"/>
      <c r="N8" s="1"/>
      <c r="O8" s="1"/>
      <c r="P8" s="1"/>
      <c r="Q8" s="1"/>
      <c r="W8" s="139" t="s">
        <v>247</v>
      </c>
      <c r="X8" s="140"/>
      <c r="Y8" s="140"/>
      <c r="Z8" s="140"/>
      <c r="AA8" s="141"/>
    </row>
    <row r="9" spans="1:27" ht="33.6" customHeight="1">
      <c r="A9" s="42"/>
      <c r="B9" s="43"/>
      <c r="C9" s="43"/>
      <c r="D9" s="43"/>
      <c r="E9" s="43"/>
      <c r="F9" s="43" t="s">
        <v>77</v>
      </c>
      <c r="G9" s="43" t="s">
        <v>423</v>
      </c>
      <c r="H9" s="43" t="s">
        <v>424</v>
      </c>
      <c r="I9" s="43" t="s">
        <v>425</v>
      </c>
      <c r="J9" s="43" t="s">
        <v>426</v>
      </c>
      <c r="K9" s="43" t="s">
        <v>427</v>
      </c>
      <c r="L9" s="43" t="s">
        <v>428</v>
      </c>
      <c r="M9" s="43" t="s">
        <v>429</v>
      </c>
      <c r="N9" s="43" t="s">
        <v>430</v>
      </c>
      <c r="O9" s="43" t="s">
        <v>431</v>
      </c>
      <c r="P9" s="43" t="s">
        <v>432</v>
      </c>
      <c r="Q9" s="44" t="s">
        <v>433</v>
      </c>
    </row>
    <row r="10" spans="1:27" ht="38.4" customHeight="1">
      <c r="A10" s="136" t="s">
        <v>248</v>
      </c>
      <c r="B10" s="41" t="s">
        <v>249</v>
      </c>
      <c r="C10" s="41"/>
      <c r="D10" s="41"/>
      <c r="E10" s="41"/>
      <c r="F10" s="3" t="s">
        <v>434</v>
      </c>
      <c r="G10" s="3" t="s">
        <v>435</v>
      </c>
      <c r="H10" s="3" t="s">
        <v>436</v>
      </c>
      <c r="I10" s="3" t="s">
        <v>437</v>
      </c>
      <c r="J10" s="3" t="s">
        <v>438</v>
      </c>
      <c r="K10" s="3" t="s">
        <v>439</v>
      </c>
      <c r="L10" s="3" t="s">
        <v>440</v>
      </c>
      <c r="M10" s="3" t="s">
        <v>441</v>
      </c>
      <c r="N10" s="3" t="s">
        <v>442</v>
      </c>
      <c r="O10" s="3" t="s">
        <v>443</v>
      </c>
      <c r="P10" s="3" t="s">
        <v>444</v>
      </c>
      <c r="Q10" s="7" t="s">
        <v>445</v>
      </c>
    </row>
    <row r="11" spans="1:27" ht="22.35" customHeight="1">
      <c r="A11" s="136"/>
      <c r="B11" s="41" t="s">
        <v>261</v>
      </c>
      <c r="C11" s="41"/>
      <c r="D11" s="41"/>
      <c r="E11" s="41"/>
      <c r="F11" s="3" t="s">
        <v>446</v>
      </c>
      <c r="G11" s="3" t="s">
        <v>447</v>
      </c>
      <c r="H11" s="3" t="s">
        <v>448</v>
      </c>
      <c r="I11" s="3" t="s">
        <v>449</v>
      </c>
      <c r="J11" s="3" t="s">
        <v>450</v>
      </c>
      <c r="K11" s="3" t="s">
        <v>451</v>
      </c>
      <c r="L11" s="3" t="s">
        <v>452</v>
      </c>
      <c r="M11" s="3" t="s">
        <v>453</v>
      </c>
      <c r="N11" s="3" t="s">
        <v>454</v>
      </c>
      <c r="O11" s="3" t="s">
        <v>455</v>
      </c>
      <c r="P11" s="3" t="s">
        <v>456</v>
      </c>
      <c r="Q11" s="7" t="s">
        <v>457</v>
      </c>
      <c r="W11" s="138" t="s">
        <v>287</v>
      </c>
      <c r="X11" s="138"/>
      <c r="Y11" s="138"/>
      <c r="Z11" s="138"/>
      <c r="AA11" s="138"/>
    </row>
    <row r="12" spans="1:27" ht="22.35" customHeight="1">
      <c r="A12" s="136"/>
      <c r="B12" s="41" t="s">
        <v>274</v>
      </c>
      <c r="C12" s="41"/>
      <c r="D12" s="41"/>
      <c r="E12" s="41"/>
      <c r="F12" s="3" t="s">
        <v>458</v>
      </c>
      <c r="G12" s="3" t="s">
        <v>459</v>
      </c>
      <c r="H12" s="3" t="s">
        <v>460</v>
      </c>
      <c r="I12" s="3" t="s">
        <v>461</v>
      </c>
      <c r="J12" s="3" t="s">
        <v>462</v>
      </c>
      <c r="K12" s="3" t="s">
        <v>463</v>
      </c>
      <c r="L12" s="3" t="s">
        <v>464</v>
      </c>
      <c r="M12" s="3" t="s">
        <v>465</v>
      </c>
      <c r="N12" s="3" t="s">
        <v>466</v>
      </c>
      <c r="O12" s="3" t="s">
        <v>467</v>
      </c>
      <c r="P12" s="3" t="s">
        <v>468</v>
      </c>
      <c r="Q12" s="7" t="s">
        <v>469</v>
      </c>
      <c r="W12" s="65" t="s">
        <v>299</v>
      </c>
      <c r="X12" s="66" t="s">
        <v>300</v>
      </c>
      <c r="Y12" s="66" t="s">
        <v>301</v>
      </c>
      <c r="Z12" s="66" t="s">
        <v>302</v>
      </c>
      <c r="AA12" s="67" t="s">
        <v>303</v>
      </c>
    </row>
    <row r="13" spans="1:27" ht="30.45" customHeight="1">
      <c r="A13" s="136"/>
      <c r="B13" s="41" t="s">
        <v>288</v>
      </c>
      <c r="C13" s="41"/>
      <c r="D13" s="41"/>
      <c r="E13" s="41"/>
      <c r="F13" s="3" t="s">
        <v>292</v>
      </c>
      <c r="G13" s="3" t="s">
        <v>292</v>
      </c>
      <c r="H13" s="3" t="s">
        <v>470</v>
      </c>
      <c r="I13" s="3" t="s">
        <v>471</v>
      </c>
      <c r="J13" s="3" t="s">
        <v>472</v>
      </c>
      <c r="K13" s="3" t="s">
        <v>292</v>
      </c>
      <c r="L13" s="3" t="s">
        <v>473</v>
      </c>
      <c r="M13" s="3" t="s">
        <v>474</v>
      </c>
      <c r="N13" s="3" t="s">
        <v>292</v>
      </c>
      <c r="O13" s="3" t="s">
        <v>475</v>
      </c>
      <c r="P13" s="3" t="s">
        <v>476</v>
      </c>
      <c r="Q13" s="7" t="s">
        <v>477</v>
      </c>
      <c r="W13" s="74">
        <v>1</v>
      </c>
      <c r="X13" s="76" t="s">
        <v>316</v>
      </c>
      <c r="Y13" s="69" t="s">
        <v>478</v>
      </c>
      <c r="Z13" s="69" t="s">
        <v>479</v>
      </c>
      <c r="AA13" s="78" t="s">
        <v>77</v>
      </c>
    </row>
    <row r="14" spans="1:27" ht="30.45" customHeight="1">
      <c r="A14" s="136" t="s">
        <v>304</v>
      </c>
      <c r="B14" s="41" t="s">
        <v>305</v>
      </c>
      <c r="C14" s="41"/>
      <c r="D14" s="41"/>
      <c r="E14" s="41"/>
      <c r="F14" s="3" t="s">
        <v>480</v>
      </c>
      <c r="G14" s="3" t="s">
        <v>481</v>
      </c>
      <c r="H14" s="3" t="s">
        <v>482</v>
      </c>
      <c r="I14" s="3" t="s">
        <v>483</v>
      </c>
      <c r="J14" s="3" t="s">
        <v>484</v>
      </c>
      <c r="K14" s="3" t="s">
        <v>485</v>
      </c>
      <c r="L14" s="3" t="s">
        <v>482</v>
      </c>
      <c r="M14" s="3" t="s">
        <v>482</v>
      </c>
      <c r="N14" s="3" t="s">
        <v>482</v>
      </c>
      <c r="O14" s="3" t="s">
        <v>482</v>
      </c>
      <c r="P14" s="3" t="s">
        <v>486</v>
      </c>
      <c r="Q14" s="7" t="s">
        <v>487</v>
      </c>
      <c r="W14" s="74">
        <v>2</v>
      </c>
      <c r="X14" s="76" t="s">
        <v>316</v>
      </c>
      <c r="Y14" s="69" t="s">
        <v>488</v>
      </c>
      <c r="Z14" s="69" t="s">
        <v>489</v>
      </c>
      <c r="AA14" s="78" t="s">
        <v>423</v>
      </c>
    </row>
    <row r="15" spans="1:27" ht="30.45" customHeight="1">
      <c r="A15" s="136"/>
      <c r="B15" s="41" t="s">
        <v>319</v>
      </c>
      <c r="C15" s="41"/>
      <c r="D15" s="41"/>
      <c r="E15" s="41"/>
      <c r="F15" s="3" t="s">
        <v>490</v>
      </c>
      <c r="G15" s="3" t="s">
        <v>491</v>
      </c>
      <c r="H15" s="3" t="s">
        <v>492</v>
      </c>
      <c r="I15" s="3" t="s">
        <v>326</v>
      </c>
      <c r="J15" s="3" t="s">
        <v>493</v>
      </c>
      <c r="K15" s="3" t="s">
        <v>348</v>
      </c>
      <c r="L15" s="3" t="s">
        <v>494</v>
      </c>
      <c r="M15" s="3" t="s">
        <v>495</v>
      </c>
      <c r="N15" s="3" t="s">
        <v>496</v>
      </c>
      <c r="O15" s="3" t="s">
        <v>497</v>
      </c>
      <c r="P15" s="3" t="s">
        <v>498</v>
      </c>
      <c r="Q15" s="7" t="s">
        <v>499</v>
      </c>
      <c r="W15" s="74">
        <v>3</v>
      </c>
      <c r="X15" s="76" t="s">
        <v>316</v>
      </c>
      <c r="Y15" s="69" t="s">
        <v>500</v>
      </c>
      <c r="Z15" s="69" t="s">
        <v>501</v>
      </c>
      <c r="AA15" s="78" t="s">
        <v>424</v>
      </c>
    </row>
    <row r="16" spans="1:27" ht="30.45" customHeight="1">
      <c r="A16" s="136"/>
      <c r="B16" s="41" t="s">
        <v>335</v>
      </c>
      <c r="C16" s="41"/>
      <c r="D16" s="41"/>
      <c r="E16" s="41"/>
      <c r="F16" s="3" t="s">
        <v>502</v>
      </c>
      <c r="G16" s="3" t="s">
        <v>503</v>
      </c>
      <c r="H16" s="3" t="s">
        <v>504</v>
      </c>
      <c r="I16" s="3" t="s">
        <v>505</v>
      </c>
      <c r="J16" s="3" t="s">
        <v>506</v>
      </c>
      <c r="K16" s="3" t="s">
        <v>507</v>
      </c>
      <c r="L16" s="3" t="s">
        <v>508</v>
      </c>
      <c r="M16" s="3" t="s">
        <v>509</v>
      </c>
      <c r="N16" s="3" t="s">
        <v>510</v>
      </c>
      <c r="O16" s="3" t="s">
        <v>511</v>
      </c>
      <c r="P16" s="3" t="s">
        <v>512</v>
      </c>
      <c r="Q16" s="7" t="s">
        <v>513</v>
      </c>
      <c r="W16" s="74">
        <v>4</v>
      </c>
      <c r="X16" s="76" t="s">
        <v>332</v>
      </c>
      <c r="Y16" s="69" t="s">
        <v>514</v>
      </c>
      <c r="Z16" s="69" t="s">
        <v>515</v>
      </c>
      <c r="AA16" s="78" t="s">
        <v>425</v>
      </c>
    </row>
    <row r="17" spans="1:27" ht="30.45" customHeight="1">
      <c r="A17" s="136"/>
      <c r="B17" s="41" t="s">
        <v>346</v>
      </c>
      <c r="C17" s="41"/>
      <c r="D17" s="41"/>
      <c r="E17" s="41"/>
      <c r="F17" s="3" t="s">
        <v>516</v>
      </c>
      <c r="G17" s="3" t="s">
        <v>517</v>
      </c>
      <c r="H17" s="3" t="s">
        <v>518</v>
      </c>
      <c r="I17" s="3" t="s">
        <v>519</v>
      </c>
      <c r="J17" s="3" t="s">
        <v>520</v>
      </c>
      <c r="K17" s="3" t="s">
        <v>521</v>
      </c>
      <c r="L17" s="3" t="s">
        <v>522</v>
      </c>
      <c r="M17" s="3" t="s">
        <v>349</v>
      </c>
      <c r="N17" s="3" t="s">
        <v>523</v>
      </c>
      <c r="O17" s="3" t="s">
        <v>524</v>
      </c>
      <c r="P17" s="3" t="s">
        <v>525</v>
      </c>
      <c r="Q17" s="7" t="s">
        <v>526</v>
      </c>
      <c r="W17" s="74">
        <v>5</v>
      </c>
      <c r="X17" s="76" t="s">
        <v>316</v>
      </c>
      <c r="Y17" s="69" t="s">
        <v>527</v>
      </c>
      <c r="Z17" s="69" t="s">
        <v>528</v>
      </c>
      <c r="AA17" s="78" t="s">
        <v>426</v>
      </c>
    </row>
    <row r="18" spans="1:27" ht="30.45" customHeight="1">
      <c r="A18" s="136"/>
      <c r="B18" s="41" t="s">
        <v>302</v>
      </c>
      <c r="C18" s="41"/>
      <c r="D18" s="41"/>
      <c r="E18" s="41"/>
      <c r="F18" s="3" t="s">
        <v>479</v>
      </c>
      <c r="G18" s="3" t="s">
        <v>489</v>
      </c>
      <c r="H18" s="3" t="s">
        <v>501</v>
      </c>
      <c r="I18" s="3" t="s">
        <v>515</v>
      </c>
      <c r="J18" s="3" t="s">
        <v>528</v>
      </c>
      <c r="K18" s="3" t="s">
        <v>529</v>
      </c>
      <c r="L18" s="3" t="s">
        <v>530</v>
      </c>
      <c r="M18" s="3" t="s">
        <v>531</v>
      </c>
      <c r="N18" s="3" t="s">
        <v>532</v>
      </c>
      <c r="O18" s="3" t="s">
        <v>533</v>
      </c>
      <c r="P18" s="3" t="s">
        <v>534</v>
      </c>
      <c r="Q18" s="7" t="s">
        <v>535</v>
      </c>
      <c r="W18" s="74">
        <v>6</v>
      </c>
      <c r="X18" s="76" t="s">
        <v>332</v>
      </c>
      <c r="Y18" s="69" t="s">
        <v>536</v>
      </c>
      <c r="Z18" s="69" t="s">
        <v>529</v>
      </c>
      <c r="AA18" s="78" t="s">
        <v>427</v>
      </c>
    </row>
    <row r="19" spans="1:27" ht="30.45" customHeight="1">
      <c r="A19" s="136"/>
      <c r="B19" s="41" t="s">
        <v>369</v>
      </c>
      <c r="C19" s="41"/>
      <c r="D19" s="41"/>
      <c r="E19" s="41"/>
      <c r="F19" s="3"/>
      <c r="G19" s="3"/>
      <c r="H19" s="3"/>
      <c r="I19" s="3" t="s">
        <v>537</v>
      </c>
      <c r="J19" s="3"/>
      <c r="K19" s="3" t="s">
        <v>538</v>
      </c>
      <c r="L19" s="3"/>
      <c r="M19" s="3" t="s">
        <v>539</v>
      </c>
      <c r="N19" s="3"/>
      <c r="O19" s="3" t="s">
        <v>540</v>
      </c>
      <c r="P19" s="3"/>
      <c r="Q19" s="7" t="s">
        <v>541</v>
      </c>
      <c r="W19" s="74">
        <v>7</v>
      </c>
      <c r="X19" s="76" t="s">
        <v>316</v>
      </c>
      <c r="Y19" s="69" t="s">
        <v>542</v>
      </c>
      <c r="Z19" s="69" t="s">
        <v>530</v>
      </c>
      <c r="AA19" s="78" t="s">
        <v>428</v>
      </c>
    </row>
    <row r="20" spans="1:27" ht="30.45" customHeight="1">
      <c r="A20" s="136"/>
      <c r="B20" s="41" t="s">
        <v>378</v>
      </c>
      <c r="C20" s="41"/>
      <c r="D20" s="41"/>
      <c r="E20" s="41"/>
      <c r="F20" s="3" t="s">
        <v>543</v>
      </c>
      <c r="G20" s="3" t="s">
        <v>544</v>
      </c>
      <c r="H20" s="3" t="s">
        <v>545</v>
      </c>
      <c r="I20" s="3" t="s">
        <v>546</v>
      </c>
      <c r="J20" s="3" t="s">
        <v>547</v>
      </c>
      <c r="K20" s="3" t="s">
        <v>548</v>
      </c>
      <c r="L20" s="3" t="s">
        <v>549</v>
      </c>
      <c r="M20" s="3" t="s">
        <v>550</v>
      </c>
      <c r="N20" s="3" t="s">
        <v>551</v>
      </c>
      <c r="O20" s="3" t="s">
        <v>552</v>
      </c>
      <c r="P20" s="3" t="s">
        <v>553</v>
      </c>
      <c r="Q20" s="7" t="s">
        <v>554</v>
      </c>
      <c r="W20" s="74">
        <v>8</v>
      </c>
      <c r="X20" s="76" t="s">
        <v>332</v>
      </c>
      <c r="Y20" s="69" t="s">
        <v>555</v>
      </c>
      <c r="Z20" s="69" t="s">
        <v>531</v>
      </c>
      <c r="AA20" s="78" t="s">
        <v>429</v>
      </c>
    </row>
    <row r="21" spans="1:27" ht="30.45" customHeight="1">
      <c r="A21" s="136" t="s">
        <v>392</v>
      </c>
      <c r="B21" s="41" t="s">
        <v>393</v>
      </c>
      <c r="C21" s="41"/>
      <c r="D21" s="41"/>
      <c r="E21" s="41"/>
      <c r="F21" s="48" t="s">
        <v>184</v>
      </c>
      <c r="G21" s="48" t="s">
        <v>184</v>
      </c>
      <c r="H21" s="48" t="s">
        <v>184</v>
      </c>
      <c r="I21" s="48" t="s">
        <v>185</v>
      </c>
      <c r="J21" s="48" t="s">
        <v>184</v>
      </c>
      <c r="K21" s="48" t="s">
        <v>185</v>
      </c>
      <c r="L21" s="48" t="s">
        <v>184</v>
      </c>
      <c r="M21" s="48" t="s">
        <v>185</v>
      </c>
      <c r="N21" s="48" t="s">
        <v>184</v>
      </c>
      <c r="O21" s="48" t="s">
        <v>185</v>
      </c>
      <c r="P21" s="48" t="s">
        <v>184</v>
      </c>
      <c r="Q21" s="49" t="s">
        <v>185</v>
      </c>
      <c r="W21" s="74">
        <v>9</v>
      </c>
      <c r="X21" s="76" t="s">
        <v>316</v>
      </c>
      <c r="Y21" s="69" t="s">
        <v>556</v>
      </c>
      <c r="Z21" s="69" t="s">
        <v>532</v>
      </c>
      <c r="AA21" s="78" t="s">
        <v>430</v>
      </c>
    </row>
    <row r="22" spans="1:27" ht="19.2" customHeight="1">
      <c r="A22" s="136"/>
      <c r="B22" s="83" t="s">
        <v>395</v>
      </c>
      <c r="C22" s="84"/>
      <c r="D22" s="84"/>
      <c r="E22" s="85"/>
      <c r="F22" s="86"/>
      <c r="G22" s="87"/>
      <c r="H22" s="87"/>
      <c r="I22" s="87"/>
      <c r="J22" s="87"/>
      <c r="K22" s="87"/>
      <c r="L22" s="87"/>
      <c r="M22" s="87"/>
      <c r="N22" s="87"/>
      <c r="O22" s="87"/>
      <c r="P22" s="87"/>
      <c r="Q22" s="88"/>
      <c r="W22" s="74">
        <v>10</v>
      </c>
      <c r="X22" s="76" t="s">
        <v>332</v>
      </c>
      <c r="Y22" s="69" t="s">
        <v>557</v>
      </c>
      <c r="Z22" s="69" t="s">
        <v>533</v>
      </c>
      <c r="AA22" s="78" t="s">
        <v>431</v>
      </c>
    </row>
    <row r="23" spans="1:27" ht="30.45" customHeight="1">
      <c r="A23" s="136"/>
      <c r="B23" s="41" t="s">
        <v>397</v>
      </c>
      <c r="C23" s="41"/>
      <c r="D23" s="41"/>
      <c r="E23" s="41"/>
      <c r="F23" s="50"/>
      <c r="G23" s="50"/>
      <c r="H23" s="50"/>
      <c r="I23" s="50"/>
      <c r="J23" s="50"/>
      <c r="K23" s="50"/>
      <c r="L23" s="50"/>
      <c r="M23" s="50"/>
      <c r="N23" s="50"/>
      <c r="O23" s="50"/>
      <c r="P23" s="50"/>
      <c r="Q23" s="51"/>
      <c r="W23" s="74">
        <v>11</v>
      </c>
      <c r="X23" s="76" t="s">
        <v>316</v>
      </c>
      <c r="Y23" s="69" t="s">
        <v>558</v>
      </c>
      <c r="Z23" s="69" t="s">
        <v>534</v>
      </c>
      <c r="AA23" s="78" t="s">
        <v>432</v>
      </c>
    </row>
    <row r="24" spans="1:27" ht="30.45" customHeight="1">
      <c r="A24" s="137"/>
      <c r="B24" s="45" t="s">
        <v>399</v>
      </c>
      <c r="C24" s="45"/>
      <c r="D24" s="45"/>
      <c r="E24" s="45"/>
      <c r="F24" s="46"/>
      <c r="G24" s="46"/>
      <c r="H24" s="46"/>
      <c r="I24" s="46"/>
      <c r="J24" s="46"/>
      <c r="K24" s="46"/>
      <c r="L24" s="46"/>
      <c r="M24" s="46"/>
      <c r="N24" s="46"/>
      <c r="O24" s="46"/>
      <c r="P24" s="46"/>
      <c r="Q24" s="47"/>
      <c r="W24" s="75">
        <v>12</v>
      </c>
      <c r="X24" s="77" t="s">
        <v>332</v>
      </c>
      <c r="Y24" s="72" t="s">
        <v>559</v>
      </c>
      <c r="Z24" s="72" t="s">
        <v>535</v>
      </c>
      <c r="AA24" s="79" t="s">
        <v>433</v>
      </c>
    </row>
  </sheetData>
  <mergeCells count="34">
    <mergeCell ref="A21:A24"/>
    <mergeCell ref="W2:AA2"/>
    <mergeCell ref="W8:AA8"/>
    <mergeCell ref="W11:AA11"/>
    <mergeCell ref="K7:L7"/>
    <mergeCell ref="M7:N7"/>
    <mergeCell ref="O7:Q7"/>
    <mergeCell ref="A10:A13"/>
    <mergeCell ref="A14:A20"/>
    <mergeCell ref="A7:B7"/>
    <mergeCell ref="C7:D7"/>
    <mergeCell ref="E7:F7"/>
    <mergeCell ref="G7:H7"/>
    <mergeCell ref="I7:J7"/>
    <mergeCell ref="A4:B4"/>
    <mergeCell ref="C4:Q4"/>
    <mergeCell ref="A5:B5"/>
    <mergeCell ref="C5:Q5"/>
    <mergeCell ref="A6:B6"/>
    <mergeCell ref="C6:D6"/>
    <mergeCell ref="E6:F6"/>
    <mergeCell ref="G6:H6"/>
    <mergeCell ref="I6:J6"/>
    <mergeCell ref="K6:L6"/>
    <mergeCell ref="M6:N6"/>
    <mergeCell ref="O6:Q6"/>
    <mergeCell ref="A2:B2"/>
    <mergeCell ref="C2:D2"/>
    <mergeCell ref="F2:G2"/>
    <mergeCell ref="H2:Q2"/>
    <mergeCell ref="A3:B3"/>
    <mergeCell ref="C3:D3"/>
    <mergeCell ref="F3:G3"/>
    <mergeCell ref="H3:Q3"/>
  </mergeCells>
  <conditionalFormatting sqref="F22:Q22">
    <cfRule type="expression" dxfId="47" priority="1">
      <formula>F22="Passed"</formula>
    </cfRule>
    <cfRule type="expression" dxfId="46" priority="2">
      <formula>F22="Failed"</formula>
    </cfRule>
    <cfRule type="expression" dxfId="45" priority="3">
      <formula>F22="Blocked"</formula>
    </cfRule>
  </conditionalFormatting>
  <dataValidations count="1">
    <dataValidation type="list" sqref="F22:Q22" xr:uid="{00000000-0002-0000-0500-000000000000}">
      <formula1>"Passed,Failed,Blocked"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27"/>
  <sheetViews>
    <sheetView topLeftCell="E16" workbookViewId="0">
      <selection activeCell="G23" sqref="G23"/>
    </sheetView>
  </sheetViews>
  <sheetFormatPr defaultRowHeight="13.8"/>
  <cols>
    <col min="1" max="1" width="15" customWidth="1"/>
    <col min="2" max="5" width="16" customWidth="1"/>
    <col min="6" max="20" width="20" customWidth="1"/>
    <col min="23" max="24" width="20" customWidth="1"/>
    <col min="25" max="26" width="38" customWidth="1"/>
    <col min="27" max="27" width="16" customWidth="1"/>
  </cols>
  <sheetData>
    <row r="1" spans="1:27">
      <c r="A1" s="1"/>
      <c r="B1" s="1"/>
      <c r="C1" s="1"/>
      <c r="D1" s="1"/>
      <c r="E1" s="1"/>
      <c r="F1" s="1"/>
      <c r="G1" s="1"/>
      <c r="H1" s="1"/>
      <c r="I1" s="1"/>
      <c r="J1" s="1"/>
      <c r="K1" s="1"/>
      <c r="L1" s="1"/>
      <c r="M1" s="1"/>
      <c r="N1" s="1"/>
      <c r="O1" s="1"/>
      <c r="P1" s="1"/>
      <c r="Q1" s="1"/>
      <c r="R1" s="1"/>
      <c r="S1" s="1"/>
      <c r="T1" s="1"/>
    </row>
    <row r="2" spans="1:27" ht="22.35" customHeight="1">
      <c r="A2" s="122" t="s">
        <v>199</v>
      </c>
      <c r="B2" s="123"/>
      <c r="C2" s="124" t="s">
        <v>83</v>
      </c>
      <c r="D2" s="124"/>
      <c r="E2" s="18"/>
      <c r="F2" s="123" t="s">
        <v>63</v>
      </c>
      <c r="G2" s="123"/>
      <c r="H2" s="124" t="s">
        <v>82</v>
      </c>
      <c r="I2" s="124"/>
      <c r="J2" s="124"/>
      <c r="K2" s="124"/>
      <c r="L2" s="124"/>
      <c r="M2" s="124"/>
      <c r="N2" s="124"/>
      <c r="O2" s="124"/>
      <c r="P2" s="124"/>
      <c r="Q2" s="124"/>
      <c r="R2" s="124"/>
      <c r="S2" s="124"/>
      <c r="T2" s="125"/>
      <c r="W2" s="138" t="s">
        <v>200</v>
      </c>
      <c r="X2" s="138"/>
      <c r="Y2" s="138"/>
      <c r="Z2" s="138"/>
      <c r="AA2" s="138"/>
    </row>
    <row r="3" spans="1:27" ht="22.35" customHeight="1">
      <c r="A3" s="126" t="s">
        <v>201</v>
      </c>
      <c r="B3" s="127"/>
      <c r="C3" s="128" t="s">
        <v>37</v>
      </c>
      <c r="D3" s="128"/>
      <c r="E3" s="1"/>
      <c r="F3" s="127" t="s">
        <v>202</v>
      </c>
      <c r="G3" s="127"/>
      <c r="H3" s="128"/>
      <c r="I3" s="128"/>
      <c r="J3" s="128"/>
      <c r="K3" s="128"/>
      <c r="L3" s="128"/>
      <c r="M3" s="128"/>
      <c r="N3" s="128"/>
      <c r="O3" s="128"/>
      <c r="P3" s="128"/>
      <c r="Q3" s="128"/>
      <c r="R3" s="128"/>
      <c r="S3" s="128"/>
      <c r="T3" s="129"/>
      <c r="W3" s="65" t="s">
        <v>203</v>
      </c>
      <c r="X3" s="66" t="s">
        <v>204</v>
      </c>
      <c r="Y3" s="66" t="s">
        <v>205</v>
      </c>
      <c r="Z3" s="66" t="s">
        <v>206</v>
      </c>
      <c r="AA3" s="67" t="s">
        <v>207</v>
      </c>
    </row>
    <row r="4" spans="1:27" ht="30.45" customHeight="1">
      <c r="A4" s="126" t="s">
        <v>208</v>
      </c>
      <c r="B4" s="127"/>
      <c r="C4" s="128" t="s">
        <v>560</v>
      </c>
      <c r="D4" s="128"/>
      <c r="E4" s="128"/>
      <c r="F4" s="128"/>
      <c r="G4" s="128"/>
      <c r="H4" s="128"/>
      <c r="I4" s="128"/>
      <c r="J4" s="128"/>
      <c r="K4" s="128"/>
      <c r="L4" s="128"/>
      <c r="M4" s="128"/>
      <c r="N4" s="128"/>
      <c r="O4" s="128"/>
      <c r="P4" s="128"/>
      <c r="Q4" s="128"/>
      <c r="R4" s="128"/>
      <c r="S4" s="128"/>
      <c r="T4" s="129"/>
      <c r="W4" s="68" t="s">
        <v>561</v>
      </c>
      <c r="X4" s="69" t="s">
        <v>562</v>
      </c>
      <c r="Y4" s="69" t="s">
        <v>563</v>
      </c>
      <c r="Z4" s="69" t="s">
        <v>564</v>
      </c>
      <c r="AA4" s="70" t="s">
        <v>565</v>
      </c>
    </row>
    <row r="5" spans="1:27" ht="30.45" customHeight="1">
      <c r="A5" s="126" t="s">
        <v>215</v>
      </c>
      <c r="B5" s="127"/>
      <c r="C5" s="128" t="s">
        <v>80</v>
      </c>
      <c r="D5" s="128"/>
      <c r="E5" s="128"/>
      <c r="F5" s="128"/>
      <c r="G5" s="128"/>
      <c r="H5" s="128"/>
      <c r="I5" s="128"/>
      <c r="J5" s="128"/>
      <c r="K5" s="128"/>
      <c r="L5" s="128"/>
      <c r="M5" s="128"/>
      <c r="N5" s="128"/>
      <c r="O5" s="128"/>
      <c r="P5" s="128"/>
      <c r="Q5" s="128"/>
      <c r="R5" s="128"/>
      <c r="S5" s="128"/>
      <c r="T5" s="129"/>
      <c r="W5" s="68" t="s">
        <v>566</v>
      </c>
      <c r="X5" s="69" t="s">
        <v>567</v>
      </c>
      <c r="Y5" s="69" t="s">
        <v>568</v>
      </c>
      <c r="Z5" s="69" t="s">
        <v>569</v>
      </c>
      <c r="AA5" s="70" t="s">
        <v>570</v>
      </c>
    </row>
    <row r="6" spans="1:27" ht="30.45" customHeight="1">
      <c r="A6" s="130" t="s">
        <v>173</v>
      </c>
      <c r="B6" s="131"/>
      <c r="C6" s="131" t="s">
        <v>174</v>
      </c>
      <c r="D6" s="131"/>
      <c r="E6" s="131" t="s">
        <v>175</v>
      </c>
      <c r="F6" s="131"/>
      <c r="G6" s="131" t="s">
        <v>180</v>
      </c>
      <c r="H6" s="131"/>
      <c r="I6" s="131" t="s">
        <v>184</v>
      </c>
      <c r="J6" s="131"/>
      <c r="K6" s="131" t="s">
        <v>185</v>
      </c>
      <c r="L6" s="131"/>
      <c r="M6" s="131" t="s">
        <v>186</v>
      </c>
      <c r="N6" s="131"/>
      <c r="O6" s="131" t="s">
        <v>187</v>
      </c>
      <c r="P6" s="131"/>
      <c r="Q6" s="131"/>
      <c r="R6" s="131"/>
      <c r="S6" s="131"/>
      <c r="T6" s="132"/>
      <c r="W6" s="68" t="s">
        <v>571</v>
      </c>
      <c r="X6" s="69" t="s">
        <v>572</v>
      </c>
      <c r="Y6" s="69" t="s">
        <v>573</v>
      </c>
      <c r="Z6" s="69" t="s">
        <v>574</v>
      </c>
      <c r="AA6" s="70" t="s">
        <v>575</v>
      </c>
    </row>
    <row r="7" spans="1:27" ht="30.45" customHeight="1">
      <c r="A7" s="133">
        <f>COUNTIF(F22:T22,"Passed")</f>
        <v>0</v>
      </c>
      <c r="B7" s="134"/>
      <c r="C7" s="134">
        <f>COUNTIF(F22:T22,"Failed")</f>
        <v>0</v>
      </c>
      <c r="D7" s="134"/>
      <c r="E7" s="134">
        <f>COUNTIF(F22:T22,"Blocked")</f>
        <v>0</v>
      </c>
      <c r="F7" s="134"/>
      <c r="G7" s="134">
        <f>15-A7-C7-E7</f>
        <v>15</v>
      </c>
      <c r="H7" s="134"/>
      <c r="I7" s="134">
        <f>COUNTIF(F21:T21,"N")</f>
        <v>9</v>
      </c>
      <c r="J7" s="134"/>
      <c r="K7" s="134">
        <f>COUNTIF(F21:T21,"A")</f>
        <v>4</v>
      </c>
      <c r="L7" s="134"/>
      <c r="M7" s="134">
        <f>COUNTIF(F21:T21,"B")</f>
        <v>2</v>
      </c>
      <c r="N7" s="134"/>
      <c r="O7" s="134">
        <v>15</v>
      </c>
      <c r="P7" s="134"/>
      <c r="Q7" s="134"/>
      <c r="R7" s="134"/>
      <c r="S7" s="134"/>
      <c r="T7" s="135"/>
      <c r="W7" s="71" t="s">
        <v>576</v>
      </c>
      <c r="X7" s="72" t="s">
        <v>577</v>
      </c>
      <c r="Y7" s="72" t="s">
        <v>578</v>
      </c>
      <c r="Z7" s="72" t="s">
        <v>579</v>
      </c>
      <c r="AA7" s="73" t="s">
        <v>580</v>
      </c>
    </row>
    <row r="8" spans="1:27" ht="35.25" customHeight="1">
      <c r="A8" s="1"/>
      <c r="B8" s="1"/>
      <c r="C8" s="1"/>
      <c r="D8" s="1"/>
      <c r="E8" s="1"/>
      <c r="F8" s="1"/>
      <c r="G8" s="1"/>
      <c r="H8" s="1"/>
      <c r="I8" s="1"/>
      <c r="J8" s="1"/>
      <c r="K8" s="1"/>
      <c r="L8" s="1"/>
      <c r="M8" s="1"/>
      <c r="N8" s="1"/>
      <c r="O8" s="1"/>
      <c r="P8" s="1"/>
      <c r="Q8" s="1"/>
      <c r="R8" s="1"/>
      <c r="S8" s="1"/>
      <c r="T8" s="1"/>
      <c r="W8" s="139" t="s">
        <v>247</v>
      </c>
      <c r="X8" s="140"/>
      <c r="Y8" s="140"/>
      <c r="Z8" s="140"/>
      <c r="AA8" s="141"/>
    </row>
    <row r="9" spans="1:27" ht="33.6" customHeight="1">
      <c r="A9" s="42"/>
      <c r="B9" s="43"/>
      <c r="C9" s="43"/>
      <c r="D9" s="43"/>
      <c r="E9" s="43"/>
      <c r="F9" s="43" t="s">
        <v>83</v>
      </c>
      <c r="G9" s="43" t="s">
        <v>581</v>
      </c>
      <c r="H9" s="43" t="s">
        <v>582</v>
      </c>
      <c r="I9" s="43" t="s">
        <v>583</v>
      </c>
      <c r="J9" s="43" t="s">
        <v>584</v>
      </c>
      <c r="K9" s="43" t="s">
        <v>585</v>
      </c>
      <c r="L9" s="43" t="s">
        <v>586</v>
      </c>
      <c r="M9" s="43" t="s">
        <v>587</v>
      </c>
      <c r="N9" s="43" t="s">
        <v>588</v>
      </c>
      <c r="O9" s="43" t="s">
        <v>589</v>
      </c>
      <c r="P9" s="43" t="s">
        <v>590</v>
      </c>
      <c r="Q9" s="43" t="s">
        <v>591</v>
      </c>
      <c r="R9" s="43" t="s">
        <v>592</v>
      </c>
      <c r="S9" s="43" t="s">
        <v>593</v>
      </c>
      <c r="T9" s="44" t="s">
        <v>594</v>
      </c>
    </row>
    <row r="10" spans="1:27" ht="38.4" customHeight="1">
      <c r="A10" s="136" t="s">
        <v>248</v>
      </c>
      <c r="B10" s="41" t="s">
        <v>249</v>
      </c>
      <c r="C10" s="41"/>
      <c r="D10" s="41"/>
      <c r="E10" s="41"/>
      <c r="F10" s="3" t="s">
        <v>595</v>
      </c>
      <c r="G10" s="3" t="s">
        <v>596</v>
      </c>
      <c r="H10" s="3" t="s">
        <v>597</v>
      </c>
      <c r="I10" s="3" t="s">
        <v>598</v>
      </c>
      <c r="J10" s="3" t="s">
        <v>599</v>
      </c>
      <c r="K10" s="3" t="s">
        <v>600</v>
      </c>
      <c r="L10" s="3" t="s">
        <v>601</v>
      </c>
      <c r="M10" s="3" t="s">
        <v>602</v>
      </c>
      <c r="N10" s="3" t="s">
        <v>603</v>
      </c>
      <c r="O10" s="3" t="s">
        <v>604</v>
      </c>
      <c r="P10" s="3" t="s">
        <v>605</v>
      </c>
      <c r="Q10" s="3" t="s">
        <v>606</v>
      </c>
      <c r="R10" s="3" t="s">
        <v>607</v>
      </c>
      <c r="S10" s="3" t="s">
        <v>608</v>
      </c>
      <c r="T10" s="7" t="s">
        <v>609</v>
      </c>
    </row>
    <row r="11" spans="1:27" ht="22.35" customHeight="1">
      <c r="A11" s="136"/>
      <c r="B11" s="41" t="s">
        <v>261</v>
      </c>
      <c r="C11" s="41"/>
      <c r="D11" s="41"/>
      <c r="E11" s="41"/>
      <c r="F11" s="3" t="s">
        <v>610</v>
      </c>
      <c r="G11" s="3" t="s">
        <v>611</v>
      </c>
      <c r="H11" s="3" t="s">
        <v>612</v>
      </c>
      <c r="I11" s="3" t="s">
        <v>613</v>
      </c>
      <c r="J11" s="3" t="s">
        <v>613</v>
      </c>
      <c r="K11" s="3" t="s">
        <v>614</v>
      </c>
      <c r="L11" s="3" t="s">
        <v>615</v>
      </c>
      <c r="M11" s="3" t="s">
        <v>616</v>
      </c>
      <c r="N11" s="3" t="s">
        <v>617</v>
      </c>
      <c r="O11" s="3" t="s">
        <v>618</v>
      </c>
      <c r="P11" s="3" t="s">
        <v>619</v>
      </c>
      <c r="Q11" s="3" t="s">
        <v>620</v>
      </c>
      <c r="R11" s="3" t="s">
        <v>621</v>
      </c>
      <c r="S11" s="3" t="s">
        <v>622</v>
      </c>
      <c r="T11" s="7" t="s">
        <v>623</v>
      </c>
      <c r="W11" s="138" t="s">
        <v>287</v>
      </c>
      <c r="X11" s="138"/>
      <c r="Y11" s="138"/>
      <c r="Z11" s="138"/>
      <c r="AA11" s="138"/>
    </row>
    <row r="12" spans="1:27" ht="22.35" customHeight="1">
      <c r="A12" s="136"/>
      <c r="B12" s="41" t="s">
        <v>274</v>
      </c>
      <c r="C12" s="41"/>
      <c r="D12" s="41"/>
      <c r="E12" s="41"/>
      <c r="F12" s="3" t="s">
        <v>624</v>
      </c>
      <c r="G12" s="3" t="s">
        <v>625</v>
      </c>
      <c r="H12" s="3" t="s">
        <v>626</v>
      </c>
      <c r="I12" s="3" t="s">
        <v>626</v>
      </c>
      <c r="J12" s="3" t="s">
        <v>627</v>
      </c>
      <c r="K12" s="3" t="s">
        <v>628</v>
      </c>
      <c r="L12" s="3" t="s">
        <v>629</v>
      </c>
      <c r="M12" s="3" t="s">
        <v>630</v>
      </c>
      <c r="N12" s="3" t="s">
        <v>631</v>
      </c>
      <c r="O12" s="3" t="s">
        <v>632</v>
      </c>
      <c r="P12" s="3" t="s">
        <v>633</v>
      </c>
      <c r="Q12" s="3" t="s">
        <v>634</v>
      </c>
      <c r="R12" s="3" t="s">
        <v>634</v>
      </c>
      <c r="S12" s="3" t="s">
        <v>635</v>
      </c>
      <c r="T12" s="7" t="s">
        <v>636</v>
      </c>
      <c r="W12" s="65" t="s">
        <v>299</v>
      </c>
      <c r="X12" s="66" t="s">
        <v>300</v>
      </c>
      <c r="Y12" s="66" t="s">
        <v>301</v>
      </c>
      <c r="Z12" s="66" t="s">
        <v>302</v>
      </c>
      <c r="AA12" s="67" t="s">
        <v>303</v>
      </c>
    </row>
    <row r="13" spans="1:27" ht="30.45" customHeight="1">
      <c r="A13" s="136"/>
      <c r="B13" s="41" t="s">
        <v>288</v>
      </c>
      <c r="C13" s="41"/>
      <c r="D13" s="41"/>
      <c r="E13" s="41"/>
      <c r="F13" s="3" t="s">
        <v>637</v>
      </c>
      <c r="G13" s="3" t="s">
        <v>626</v>
      </c>
      <c r="H13" s="3" t="s">
        <v>638</v>
      </c>
      <c r="I13" s="3" t="s">
        <v>639</v>
      </c>
      <c r="J13" s="3" t="s">
        <v>626</v>
      </c>
      <c r="K13" s="3" t="s">
        <v>626</v>
      </c>
      <c r="L13" s="3" t="s">
        <v>626</v>
      </c>
      <c r="M13" s="3" t="s">
        <v>292</v>
      </c>
      <c r="N13" s="3" t="s">
        <v>640</v>
      </c>
      <c r="O13" s="3" t="s">
        <v>641</v>
      </c>
      <c r="P13" s="3" t="s">
        <v>632</v>
      </c>
      <c r="Q13" s="3" t="s">
        <v>642</v>
      </c>
      <c r="R13" s="3" t="s">
        <v>643</v>
      </c>
      <c r="S13" s="3" t="s">
        <v>638</v>
      </c>
      <c r="T13" s="7" t="s">
        <v>644</v>
      </c>
      <c r="W13" s="74">
        <v>1</v>
      </c>
      <c r="X13" s="76" t="s">
        <v>316</v>
      </c>
      <c r="Y13" s="69" t="s">
        <v>645</v>
      </c>
      <c r="Z13" s="69" t="s">
        <v>646</v>
      </c>
      <c r="AA13" s="78" t="s">
        <v>83</v>
      </c>
    </row>
    <row r="14" spans="1:27" ht="30.45" customHeight="1">
      <c r="A14" s="136" t="s">
        <v>304</v>
      </c>
      <c r="B14" s="41" t="s">
        <v>305</v>
      </c>
      <c r="C14" s="41"/>
      <c r="D14" s="41"/>
      <c r="E14" s="41"/>
      <c r="F14" s="3" t="s">
        <v>647</v>
      </c>
      <c r="G14" s="3" t="s">
        <v>648</v>
      </c>
      <c r="H14" s="3" t="s">
        <v>649</v>
      </c>
      <c r="I14" s="3" t="s">
        <v>650</v>
      </c>
      <c r="J14" s="3" t="s">
        <v>650</v>
      </c>
      <c r="K14" s="3" t="s">
        <v>651</v>
      </c>
      <c r="L14" s="3" t="s">
        <v>652</v>
      </c>
      <c r="M14" s="3" t="s">
        <v>653</v>
      </c>
      <c r="N14" s="3" t="s">
        <v>654</v>
      </c>
      <c r="O14" s="3" t="s">
        <v>655</v>
      </c>
      <c r="P14" s="3" t="s">
        <v>656</v>
      </c>
      <c r="Q14" s="3" t="s">
        <v>657</v>
      </c>
      <c r="R14" s="3" t="s">
        <v>658</v>
      </c>
      <c r="S14" s="3" t="s">
        <v>659</v>
      </c>
      <c r="T14" s="7" t="s">
        <v>660</v>
      </c>
      <c r="W14" s="74">
        <v>2</v>
      </c>
      <c r="X14" s="76" t="s">
        <v>316</v>
      </c>
      <c r="Y14" s="69" t="s">
        <v>661</v>
      </c>
      <c r="Z14" s="69" t="s">
        <v>662</v>
      </c>
      <c r="AA14" s="78" t="s">
        <v>581</v>
      </c>
    </row>
    <row r="15" spans="1:27" ht="30.45" customHeight="1">
      <c r="A15" s="136"/>
      <c r="B15" s="41" t="s">
        <v>319</v>
      </c>
      <c r="C15" s="41"/>
      <c r="D15" s="41"/>
      <c r="E15" s="41"/>
      <c r="F15" s="3" t="s">
        <v>490</v>
      </c>
      <c r="G15" s="3" t="s">
        <v>663</v>
      </c>
      <c r="H15" s="3" t="s">
        <v>664</v>
      </c>
      <c r="I15" s="3" t="s">
        <v>355</v>
      </c>
      <c r="J15" s="3" t="s">
        <v>665</v>
      </c>
      <c r="K15" s="3" t="s">
        <v>666</v>
      </c>
      <c r="L15" s="3" t="s">
        <v>667</v>
      </c>
      <c r="M15" s="3" t="s">
        <v>668</v>
      </c>
      <c r="N15" s="3" t="s">
        <v>669</v>
      </c>
      <c r="O15" s="3" t="s">
        <v>670</v>
      </c>
      <c r="P15" s="3" t="s">
        <v>671</v>
      </c>
      <c r="Q15" s="3" t="s">
        <v>672</v>
      </c>
      <c r="R15" s="3" t="s">
        <v>673</v>
      </c>
      <c r="S15" s="3" t="s">
        <v>674</v>
      </c>
      <c r="T15" s="7" t="s">
        <v>675</v>
      </c>
      <c r="W15" s="74">
        <v>3</v>
      </c>
      <c r="X15" s="76" t="s">
        <v>316</v>
      </c>
      <c r="Y15" s="69" t="s">
        <v>676</v>
      </c>
      <c r="Z15" s="69" t="s">
        <v>677</v>
      </c>
      <c r="AA15" s="78" t="s">
        <v>582</v>
      </c>
    </row>
    <row r="16" spans="1:27" ht="30.45" customHeight="1">
      <c r="A16" s="136"/>
      <c r="B16" s="41" t="s">
        <v>335</v>
      </c>
      <c r="C16" s="41"/>
      <c r="D16" s="41"/>
      <c r="E16" s="41"/>
      <c r="F16" s="3" t="s">
        <v>502</v>
      </c>
      <c r="G16" s="3" t="s">
        <v>503</v>
      </c>
      <c r="H16" s="3" t="s">
        <v>678</v>
      </c>
      <c r="I16" s="3" t="s">
        <v>665</v>
      </c>
      <c r="J16" s="3" t="s">
        <v>679</v>
      </c>
      <c r="K16" s="3" t="s">
        <v>680</v>
      </c>
      <c r="L16" s="3" t="s">
        <v>681</v>
      </c>
      <c r="M16" s="3" t="s">
        <v>524</v>
      </c>
      <c r="N16" s="3" t="s">
        <v>524</v>
      </c>
      <c r="O16" s="3" t="s">
        <v>682</v>
      </c>
      <c r="P16" s="3" t="s">
        <v>644</v>
      </c>
      <c r="Q16" s="3" t="s">
        <v>683</v>
      </c>
      <c r="R16" s="3" t="s">
        <v>684</v>
      </c>
      <c r="S16" s="3" t="s">
        <v>685</v>
      </c>
      <c r="T16" s="7" t="s">
        <v>686</v>
      </c>
      <c r="W16" s="74">
        <v>4</v>
      </c>
      <c r="X16" s="76" t="s">
        <v>316</v>
      </c>
      <c r="Y16" s="69" t="s">
        <v>687</v>
      </c>
      <c r="Z16" s="69" t="s">
        <v>688</v>
      </c>
      <c r="AA16" s="78" t="s">
        <v>583</v>
      </c>
    </row>
    <row r="17" spans="1:27" ht="30.45" customHeight="1">
      <c r="A17" s="136"/>
      <c r="B17" s="41" t="s">
        <v>346</v>
      </c>
      <c r="C17" s="41"/>
      <c r="D17" s="41"/>
      <c r="E17" s="41"/>
      <c r="F17" s="3" t="s">
        <v>355</v>
      </c>
      <c r="G17" s="3" t="s">
        <v>644</v>
      </c>
      <c r="H17" s="3" t="s">
        <v>689</v>
      </c>
      <c r="I17" s="3" t="s">
        <v>690</v>
      </c>
      <c r="J17" s="3" t="s">
        <v>524</v>
      </c>
      <c r="K17" s="3" t="s">
        <v>503</v>
      </c>
      <c r="L17" s="3" t="s">
        <v>691</v>
      </c>
      <c r="M17" s="3" t="s">
        <v>692</v>
      </c>
      <c r="N17" s="3" t="s">
        <v>693</v>
      </c>
      <c r="O17" s="3" t="s">
        <v>694</v>
      </c>
      <c r="P17" s="3" t="s">
        <v>694</v>
      </c>
      <c r="Q17" s="3" t="s">
        <v>695</v>
      </c>
      <c r="R17" s="3" t="s">
        <v>524</v>
      </c>
      <c r="S17" s="3" t="s">
        <v>524</v>
      </c>
      <c r="T17" s="7" t="s">
        <v>696</v>
      </c>
      <c r="W17" s="74">
        <v>5</v>
      </c>
      <c r="X17" s="76" t="s">
        <v>332</v>
      </c>
      <c r="Y17" s="69" t="s">
        <v>697</v>
      </c>
      <c r="Z17" s="69" t="s">
        <v>698</v>
      </c>
      <c r="AA17" s="78" t="s">
        <v>584</v>
      </c>
    </row>
    <row r="18" spans="1:27" ht="30.45" customHeight="1">
      <c r="A18" s="136"/>
      <c r="B18" s="41" t="s">
        <v>302</v>
      </c>
      <c r="C18" s="41"/>
      <c r="D18" s="41"/>
      <c r="E18" s="41"/>
      <c r="F18" s="3" t="s">
        <v>646</v>
      </c>
      <c r="G18" s="3" t="s">
        <v>662</v>
      </c>
      <c r="H18" s="3" t="s">
        <v>677</v>
      </c>
      <c r="I18" s="3" t="s">
        <v>688</v>
      </c>
      <c r="J18" s="3" t="s">
        <v>698</v>
      </c>
      <c r="K18" s="3" t="s">
        <v>699</v>
      </c>
      <c r="L18" s="3" t="s">
        <v>700</v>
      </c>
      <c r="M18" s="3" t="s">
        <v>701</v>
      </c>
      <c r="N18" s="3" t="s">
        <v>702</v>
      </c>
      <c r="O18" s="3" t="s">
        <v>703</v>
      </c>
      <c r="P18" s="3" t="s">
        <v>704</v>
      </c>
      <c r="Q18" s="3" t="s">
        <v>705</v>
      </c>
      <c r="R18" s="3" t="s">
        <v>706</v>
      </c>
      <c r="S18" s="3" t="s">
        <v>707</v>
      </c>
      <c r="T18" s="7" t="s">
        <v>708</v>
      </c>
      <c r="W18" s="74">
        <v>6</v>
      </c>
      <c r="X18" s="76" t="s">
        <v>316</v>
      </c>
      <c r="Y18" s="69" t="s">
        <v>709</v>
      </c>
      <c r="Z18" s="69" t="s">
        <v>699</v>
      </c>
      <c r="AA18" s="78" t="s">
        <v>585</v>
      </c>
    </row>
    <row r="19" spans="1:27" ht="30.45" customHeight="1">
      <c r="A19" s="136"/>
      <c r="B19" s="41" t="s">
        <v>369</v>
      </c>
      <c r="C19" s="41"/>
      <c r="D19" s="41"/>
      <c r="E19" s="41"/>
      <c r="F19" s="3"/>
      <c r="G19" s="3"/>
      <c r="H19" s="3"/>
      <c r="I19" s="3"/>
      <c r="J19" s="3" t="s">
        <v>541</v>
      </c>
      <c r="K19" s="3"/>
      <c r="L19" s="3"/>
      <c r="M19" s="3" t="s">
        <v>710</v>
      </c>
      <c r="N19" s="3" t="s">
        <v>711</v>
      </c>
      <c r="O19" s="3"/>
      <c r="P19" s="3"/>
      <c r="Q19" s="3" t="s">
        <v>712</v>
      </c>
      <c r="R19" s="3" t="s">
        <v>541</v>
      </c>
      <c r="S19" s="3" t="s">
        <v>710</v>
      </c>
      <c r="T19" s="7"/>
      <c r="W19" s="74">
        <v>7</v>
      </c>
      <c r="X19" s="76" t="s">
        <v>316</v>
      </c>
      <c r="Y19" s="69" t="s">
        <v>713</v>
      </c>
      <c r="Z19" s="69" t="s">
        <v>700</v>
      </c>
      <c r="AA19" s="78" t="s">
        <v>586</v>
      </c>
    </row>
    <row r="20" spans="1:27" ht="30.45" customHeight="1">
      <c r="A20" s="136"/>
      <c r="B20" s="41" t="s">
        <v>378</v>
      </c>
      <c r="C20" s="41"/>
      <c r="D20" s="41"/>
      <c r="E20" s="41"/>
      <c r="F20" s="3" t="s">
        <v>714</v>
      </c>
      <c r="G20" s="3" t="s">
        <v>715</v>
      </c>
      <c r="H20" s="3" t="s">
        <v>716</v>
      </c>
      <c r="I20" s="3" t="s">
        <v>717</v>
      </c>
      <c r="J20" s="3" t="s">
        <v>718</v>
      </c>
      <c r="K20" s="3" t="s">
        <v>719</v>
      </c>
      <c r="L20" s="3" t="s">
        <v>720</v>
      </c>
      <c r="M20" s="3" t="s">
        <v>721</v>
      </c>
      <c r="N20" s="3" t="s">
        <v>722</v>
      </c>
      <c r="O20" s="3" t="s">
        <v>723</v>
      </c>
      <c r="P20" s="3" t="s">
        <v>724</v>
      </c>
      <c r="Q20" s="3" t="s">
        <v>725</v>
      </c>
      <c r="R20" s="3" t="s">
        <v>726</v>
      </c>
      <c r="S20" s="3" t="s">
        <v>727</v>
      </c>
      <c r="T20" s="7" t="s">
        <v>728</v>
      </c>
      <c r="W20" s="74">
        <v>8</v>
      </c>
      <c r="X20" s="76" t="s">
        <v>332</v>
      </c>
      <c r="Y20" s="69" t="s">
        <v>729</v>
      </c>
      <c r="Z20" s="69" t="s">
        <v>701</v>
      </c>
      <c r="AA20" s="78" t="s">
        <v>587</v>
      </c>
    </row>
    <row r="21" spans="1:27" ht="30.45" customHeight="1">
      <c r="A21" s="136" t="s">
        <v>392</v>
      </c>
      <c r="B21" s="41" t="s">
        <v>393</v>
      </c>
      <c r="C21" s="41"/>
      <c r="D21" s="41"/>
      <c r="E21" s="41"/>
      <c r="F21" s="48" t="s">
        <v>184</v>
      </c>
      <c r="G21" s="48" t="s">
        <v>184</v>
      </c>
      <c r="H21" s="48" t="s">
        <v>184</v>
      </c>
      <c r="I21" s="48" t="s">
        <v>184</v>
      </c>
      <c r="J21" s="48" t="s">
        <v>185</v>
      </c>
      <c r="K21" s="48" t="s">
        <v>184</v>
      </c>
      <c r="L21" s="48" t="s">
        <v>184</v>
      </c>
      <c r="M21" s="48" t="s">
        <v>185</v>
      </c>
      <c r="N21" s="48" t="s">
        <v>185</v>
      </c>
      <c r="O21" s="48" t="s">
        <v>184</v>
      </c>
      <c r="P21" s="48" t="s">
        <v>186</v>
      </c>
      <c r="Q21" s="48" t="s">
        <v>184</v>
      </c>
      <c r="R21" s="48" t="s">
        <v>184</v>
      </c>
      <c r="S21" s="48" t="s">
        <v>185</v>
      </c>
      <c r="T21" s="49" t="s">
        <v>186</v>
      </c>
      <c r="W21" s="74">
        <v>9</v>
      </c>
      <c r="X21" s="76" t="s">
        <v>332</v>
      </c>
      <c r="Y21" s="69" t="s">
        <v>730</v>
      </c>
      <c r="Z21" s="69" t="s">
        <v>702</v>
      </c>
      <c r="AA21" s="78" t="s">
        <v>588</v>
      </c>
    </row>
    <row r="22" spans="1:27" ht="19.2" customHeight="1">
      <c r="A22" s="136"/>
      <c r="B22" s="83" t="s">
        <v>395</v>
      </c>
      <c r="C22" s="84"/>
      <c r="D22" s="84"/>
      <c r="E22" s="85"/>
      <c r="F22" s="86"/>
      <c r="G22" s="87"/>
      <c r="H22" s="87"/>
      <c r="I22" s="87"/>
      <c r="J22" s="87"/>
      <c r="K22" s="87"/>
      <c r="L22" s="87"/>
      <c r="M22" s="87"/>
      <c r="N22" s="87"/>
      <c r="O22" s="87"/>
      <c r="P22" s="87"/>
      <c r="Q22" s="87"/>
      <c r="R22" s="87"/>
      <c r="S22" s="87"/>
      <c r="T22" s="88"/>
      <c r="W22" s="74">
        <v>10</v>
      </c>
      <c r="X22" s="76" t="s">
        <v>316</v>
      </c>
      <c r="Y22" s="69" t="s">
        <v>731</v>
      </c>
      <c r="Z22" s="69" t="s">
        <v>703</v>
      </c>
      <c r="AA22" s="78" t="s">
        <v>589</v>
      </c>
    </row>
    <row r="23" spans="1:27" ht="30.45" customHeight="1">
      <c r="A23" s="136"/>
      <c r="B23" s="41" t="s">
        <v>397</v>
      </c>
      <c r="C23" s="41"/>
      <c r="D23" s="41"/>
      <c r="E23" s="41"/>
      <c r="F23" s="50"/>
      <c r="G23" s="50"/>
      <c r="H23" s="50"/>
      <c r="I23" s="50"/>
      <c r="J23" s="50"/>
      <c r="K23" s="50"/>
      <c r="L23" s="50"/>
      <c r="M23" s="50"/>
      <c r="N23" s="50"/>
      <c r="O23" s="50"/>
      <c r="P23" s="50"/>
      <c r="Q23" s="50"/>
      <c r="R23" s="50"/>
      <c r="S23" s="50"/>
      <c r="T23" s="51"/>
      <c r="W23" s="74">
        <v>11</v>
      </c>
      <c r="X23" s="76" t="s">
        <v>357</v>
      </c>
      <c r="Y23" s="69" t="s">
        <v>732</v>
      </c>
      <c r="Z23" s="69" t="s">
        <v>704</v>
      </c>
      <c r="AA23" s="78" t="s">
        <v>590</v>
      </c>
    </row>
    <row r="24" spans="1:27" ht="30.45" customHeight="1">
      <c r="A24" s="137"/>
      <c r="B24" s="45" t="s">
        <v>399</v>
      </c>
      <c r="C24" s="45"/>
      <c r="D24" s="45"/>
      <c r="E24" s="45"/>
      <c r="F24" s="46"/>
      <c r="G24" s="46"/>
      <c r="H24" s="46"/>
      <c r="I24" s="46"/>
      <c r="J24" s="46"/>
      <c r="K24" s="46"/>
      <c r="L24" s="46"/>
      <c r="M24" s="46"/>
      <c r="N24" s="46"/>
      <c r="O24" s="46"/>
      <c r="P24" s="46"/>
      <c r="Q24" s="46"/>
      <c r="R24" s="46"/>
      <c r="S24" s="46"/>
      <c r="T24" s="47"/>
      <c r="W24" s="74">
        <v>12</v>
      </c>
      <c r="X24" s="76" t="s">
        <v>316</v>
      </c>
      <c r="Y24" s="69" t="s">
        <v>733</v>
      </c>
      <c r="Z24" s="69" t="s">
        <v>705</v>
      </c>
      <c r="AA24" s="78" t="s">
        <v>591</v>
      </c>
    </row>
    <row r="25" spans="1:27" ht="30.45" customHeight="1">
      <c r="W25" s="74">
        <v>13</v>
      </c>
      <c r="X25" s="76" t="s">
        <v>316</v>
      </c>
      <c r="Y25" s="69" t="s">
        <v>734</v>
      </c>
      <c r="Z25" s="69" t="s">
        <v>706</v>
      </c>
      <c r="AA25" s="78" t="s">
        <v>592</v>
      </c>
    </row>
    <row r="26" spans="1:27" ht="30.45" customHeight="1">
      <c r="W26" s="74">
        <v>14</v>
      </c>
      <c r="X26" s="76" t="s">
        <v>332</v>
      </c>
      <c r="Y26" s="69" t="s">
        <v>735</v>
      </c>
      <c r="Z26" s="69" t="s">
        <v>707</v>
      </c>
      <c r="AA26" s="78" t="s">
        <v>593</v>
      </c>
    </row>
    <row r="27" spans="1:27" ht="30.45" customHeight="1">
      <c r="W27" s="75">
        <v>15</v>
      </c>
      <c r="X27" s="77" t="s">
        <v>357</v>
      </c>
      <c r="Y27" s="72" t="s">
        <v>736</v>
      </c>
      <c r="Z27" s="72" t="s">
        <v>708</v>
      </c>
      <c r="AA27" s="79" t="s">
        <v>594</v>
      </c>
    </row>
  </sheetData>
  <mergeCells count="34">
    <mergeCell ref="A21:A24"/>
    <mergeCell ref="W2:AA2"/>
    <mergeCell ref="W8:AA8"/>
    <mergeCell ref="W11:AA11"/>
    <mergeCell ref="K7:L7"/>
    <mergeCell ref="M7:N7"/>
    <mergeCell ref="O7:T7"/>
    <mergeCell ref="A10:A13"/>
    <mergeCell ref="A14:A20"/>
    <mergeCell ref="A7:B7"/>
    <mergeCell ref="C7:D7"/>
    <mergeCell ref="E7:F7"/>
    <mergeCell ref="G7:H7"/>
    <mergeCell ref="I7:J7"/>
    <mergeCell ref="A4:B4"/>
    <mergeCell ref="C4:T4"/>
    <mergeCell ref="A5:B5"/>
    <mergeCell ref="C5:T5"/>
    <mergeCell ref="A6:B6"/>
    <mergeCell ref="C6:D6"/>
    <mergeCell ref="E6:F6"/>
    <mergeCell ref="G6:H6"/>
    <mergeCell ref="I6:J6"/>
    <mergeCell ref="K6:L6"/>
    <mergeCell ref="M6:N6"/>
    <mergeCell ref="O6:T6"/>
    <mergeCell ref="A2:B2"/>
    <mergeCell ref="C2:D2"/>
    <mergeCell ref="F2:G2"/>
    <mergeCell ref="H2:T2"/>
    <mergeCell ref="A3:B3"/>
    <mergeCell ref="C3:D3"/>
    <mergeCell ref="F3:G3"/>
    <mergeCell ref="H3:T3"/>
  </mergeCells>
  <conditionalFormatting sqref="F22:T22">
    <cfRule type="expression" dxfId="44" priority="1">
      <formula>F22="Passed"</formula>
    </cfRule>
    <cfRule type="expression" dxfId="43" priority="2">
      <formula>F22="Failed"</formula>
    </cfRule>
    <cfRule type="expression" dxfId="42" priority="3">
      <formula>F22="Blocked"</formula>
    </cfRule>
  </conditionalFormatting>
  <dataValidations count="1">
    <dataValidation type="list" sqref="F22:T22" xr:uid="{00000000-0002-0000-0600-000000000000}">
      <formula1>"Passed,Failed,Blocked"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4"/>
  <sheetViews>
    <sheetView topLeftCell="A10" workbookViewId="0">
      <selection activeCell="G22" sqref="G22"/>
    </sheetView>
  </sheetViews>
  <sheetFormatPr defaultRowHeight="13.8"/>
  <cols>
    <col min="1" max="1" width="15" customWidth="1"/>
    <col min="2" max="5" width="16" customWidth="1"/>
    <col min="6" max="15" width="20" customWidth="1"/>
    <col min="23" max="24" width="20" customWidth="1"/>
    <col min="25" max="26" width="38" customWidth="1"/>
    <col min="27" max="27" width="16" customWidth="1"/>
  </cols>
  <sheetData>
    <row r="1" spans="1:27">
      <c r="A1" s="1"/>
      <c r="B1" s="1"/>
      <c r="C1" s="1"/>
      <c r="D1" s="1"/>
      <c r="E1" s="1"/>
      <c r="F1" s="1"/>
      <c r="G1" s="1"/>
      <c r="H1" s="1"/>
      <c r="I1" s="1"/>
      <c r="J1" s="1"/>
      <c r="K1" s="1"/>
      <c r="L1" s="1"/>
      <c r="M1" s="1"/>
      <c r="N1" s="1"/>
      <c r="O1" s="1"/>
    </row>
    <row r="2" spans="1:27" ht="22.35" customHeight="1">
      <c r="A2" s="122" t="s">
        <v>199</v>
      </c>
      <c r="B2" s="123"/>
      <c r="C2" s="124" t="s">
        <v>89</v>
      </c>
      <c r="D2" s="124"/>
      <c r="E2" s="18"/>
      <c r="F2" s="123" t="s">
        <v>63</v>
      </c>
      <c r="G2" s="123"/>
      <c r="H2" s="124" t="s">
        <v>88</v>
      </c>
      <c r="I2" s="124"/>
      <c r="J2" s="124"/>
      <c r="K2" s="124"/>
      <c r="L2" s="124"/>
      <c r="M2" s="124"/>
      <c r="N2" s="124"/>
      <c r="O2" s="125"/>
      <c r="W2" s="138" t="s">
        <v>200</v>
      </c>
      <c r="X2" s="138"/>
      <c r="Y2" s="138"/>
      <c r="Z2" s="138"/>
      <c r="AA2" s="138"/>
    </row>
    <row r="3" spans="1:27" ht="22.35" customHeight="1">
      <c r="A3" s="126" t="s">
        <v>201</v>
      </c>
      <c r="B3" s="127"/>
      <c r="C3" s="128" t="s">
        <v>37</v>
      </c>
      <c r="D3" s="128"/>
      <c r="E3" s="1"/>
      <c r="F3" s="127" t="s">
        <v>202</v>
      </c>
      <c r="G3" s="127"/>
      <c r="H3" s="128"/>
      <c r="I3" s="128"/>
      <c r="J3" s="128"/>
      <c r="K3" s="128"/>
      <c r="L3" s="128"/>
      <c r="M3" s="128"/>
      <c r="N3" s="128"/>
      <c r="O3" s="129"/>
      <c r="W3" s="65" t="s">
        <v>203</v>
      </c>
      <c r="X3" s="66" t="s">
        <v>204</v>
      </c>
      <c r="Y3" s="66" t="s">
        <v>205</v>
      </c>
      <c r="Z3" s="66" t="s">
        <v>206</v>
      </c>
      <c r="AA3" s="67" t="s">
        <v>207</v>
      </c>
    </row>
    <row r="4" spans="1:27" ht="30.45" customHeight="1">
      <c r="A4" s="126" t="s">
        <v>208</v>
      </c>
      <c r="B4" s="127"/>
      <c r="C4" s="128" t="s">
        <v>737</v>
      </c>
      <c r="D4" s="128"/>
      <c r="E4" s="128"/>
      <c r="F4" s="128"/>
      <c r="G4" s="128"/>
      <c r="H4" s="128"/>
      <c r="I4" s="128"/>
      <c r="J4" s="128"/>
      <c r="K4" s="128"/>
      <c r="L4" s="128"/>
      <c r="M4" s="128"/>
      <c r="N4" s="128"/>
      <c r="O4" s="129"/>
      <c r="W4" s="68" t="s">
        <v>738</v>
      </c>
      <c r="X4" s="69" t="s">
        <v>739</v>
      </c>
      <c r="Y4" s="69" t="s">
        <v>740</v>
      </c>
      <c r="Z4" s="69" t="s">
        <v>741</v>
      </c>
      <c r="AA4" s="70" t="s">
        <v>742</v>
      </c>
    </row>
    <row r="5" spans="1:27" ht="30.45" customHeight="1">
      <c r="A5" s="126" t="s">
        <v>215</v>
      </c>
      <c r="B5" s="127"/>
      <c r="C5" s="128" t="s">
        <v>86</v>
      </c>
      <c r="D5" s="128"/>
      <c r="E5" s="128"/>
      <c r="F5" s="128"/>
      <c r="G5" s="128"/>
      <c r="H5" s="128"/>
      <c r="I5" s="128"/>
      <c r="J5" s="128"/>
      <c r="K5" s="128"/>
      <c r="L5" s="128"/>
      <c r="M5" s="128"/>
      <c r="N5" s="128"/>
      <c r="O5" s="129"/>
      <c r="W5" s="68" t="s">
        <v>743</v>
      </c>
      <c r="X5" s="69" t="s">
        <v>744</v>
      </c>
      <c r="Y5" s="69" t="s">
        <v>745</v>
      </c>
      <c r="Z5" s="69" t="s">
        <v>746</v>
      </c>
      <c r="AA5" s="70" t="s">
        <v>747</v>
      </c>
    </row>
    <row r="6" spans="1:27" ht="30.45" customHeight="1">
      <c r="A6" s="130" t="s">
        <v>173</v>
      </c>
      <c r="B6" s="131"/>
      <c r="C6" s="131" t="s">
        <v>174</v>
      </c>
      <c r="D6" s="131"/>
      <c r="E6" s="131" t="s">
        <v>175</v>
      </c>
      <c r="F6" s="131"/>
      <c r="G6" s="131" t="s">
        <v>180</v>
      </c>
      <c r="H6" s="131"/>
      <c r="I6" s="131" t="s">
        <v>184</v>
      </c>
      <c r="J6" s="131"/>
      <c r="K6" s="131" t="s">
        <v>185</v>
      </c>
      <c r="L6" s="131"/>
      <c r="M6" s="131" t="s">
        <v>186</v>
      </c>
      <c r="N6" s="131"/>
      <c r="O6" s="39" t="s">
        <v>187</v>
      </c>
      <c r="W6" s="68" t="s">
        <v>748</v>
      </c>
      <c r="X6" s="69" t="s">
        <v>749</v>
      </c>
      <c r="Y6" s="69" t="s">
        <v>750</v>
      </c>
      <c r="Z6" s="69" t="s">
        <v>751</v>
      </c>
      <c r="AA6" s="70" t="s">
        <v>752</v>
      </c>
    </row>
    <row r="7" spans="1:27" ht="30.45" customHeight="1">
      <c r="A7" s="133">
        <f>COUNTIF(F22:O22,"Passed")</f>
        <v>0</v>
      </c>
      <c r="B7" s="134"/>
      <c r="C7" s="134">
        <f>COUNTIF(F22:O22,"Failed")</f>
        <v>0</v>
      </c>
      <c r="D7" s="134"/>
      <c r="E7" s="134">
        <f>COUNTIF(F22:O22,"Blocked")</f>
        <v>0</v>
      </c>
      <c r="F7" s="134"/>
      <c r="G7" s="134">
        <f>10-A7-C7-E7</f>
        <v>10</v>
      </c>
      <c r="H7" s="134"/>
      <c r="I7" s="134">
        <f>COUNTIF(F21:O21,"N")</f>
        <v>5</v>
      </c>
      <c r="J7" s="134"/>
      <c r="K7" s="134">
        <f>COUNTIF(F21:O21,"A")</f>
        <v>1</v>
      </c>
      <c r="L7" s="134"/>
      <c r="M7" s="134">
        <f>COUNTIF(F21:O21,"B")</f>
        <v>4</v>
      </c>
      <c r="N7" s="134"/>
      <c r="O7" s="40">
        <v>10</v>
      </c>
      <c r="W7" s="71" t="s">
        <v>753</v>
      </c>
      <c r="X7" s="72" t="s">
        <v>754</v>
      </c>
      <c r="Y7" s="72" t="s">
        <v>755</v>
      </c>
      <c r="Z7" s="72" t="s">
        <v>756</v>
      </c>
      <c r="AA7" s="73" t="s">
        <v>757</v>
      </c>
    </row>
    <row r="8" spans="1:27" ht="35.25" customHeight="1">
      <c r="A8" s="1"/>
      <c r="B8" s="1"/>
      <c r="C8" s="1"/>
      <c r="D8" s="1"/>
      <c r="E8" s="1"/>
      <c r="F8" s="1"/>
      <c r="G8" s="1"/>
      <c r="H8" s="1"/>
      <c r="I8" s="1"/>
      <c r="J8" s="1"/>
      <c r="K8" s="1"/>
      <c r="L8" s="1"/>
      <c r="M8" s="1"/>
      <c r="N8" s="1"/>
      <c r="O8" s="1"/>
      <c r="W8" s="139" t="s">
        <v>247</v>
      </c>
      <c r="X8" s="140"/>
      <c r="Y8" s="140"/>
      <c r="Z8" s="140"/>
      <c r="AA8" s="141"/>
    </row>
    <row r="9" spans="1:27" ht="33.6" customHeight="1">
      <c r="A9" s="42"/>
      <c r="B9" s="43"/>
      <c r="C9" s="43"/>
      <c r="D9" s="43"/>
      <c r="E9" s="43"/>
      <c r="F9" s="43" t="s">
        <v>89</v>
      </c>
      <c r="G9" s="43" t="s">
        <v>758</v>
      </c>
      <c r="H9" s="43" t="s">
        <v>759</v>
      </c>
      <c r="I9" s="43" t="s">
        <v>760</v>
      </c>
      <c r="J9" s="43" t="s">
        <v>761</v>
      </c>
      <c r="K9" s="43" t="s">
        <v>762</v>
      </c>
      <c r="L9" s="43" t="s">
        <v>763</v>
      </c>
      <c r="M9" s="43" t="s">
        <v>764</v>
      </c>
      <c r="N9" s="43" t="s">
        <v>765</v>
      </c>
      <c r="O9" s="44" t="s">
        <v>766</v>
      </c>
    </row>
    <row r="10" spans="1:27" ht="38.4" customHeight="1">
      <c r="A10" s="136" t="s">
        <v>248</v>
      </c>
      <c r="B10" s="41" t="s">
        <v>249</v>
      </c>
      <c r="C10" s="41"/>
      <c r="D10" s="41"/>
      <c r="E10" s="41"/>
      <c r="F10" s="3" t="s">
        <v>767</v>
      </c>
      <c r="G10" s="3" t="s">
        <v>768</v>
      </c>
      <c r="H10" s="3" t="s">
        <v>769</v>
      </c>
      <c r="I10" s="3" t="s">
        <v>770</v>
      </c>
      <c r="J10" s="3" t="s">
        <v>771</v>
      </c>
      <c r="K10" s="3" t="s">
        <v>772</v>
      </c>
      <c r="L10" s="3" t="s">
        <v>773</v>
      </c>
      <c r="M10" s="3" t="s">
        <v>740</v>
      </c>
      <c r="N10" s="3" t="s">
        <v>774</v>
      </c>
      <c r="O10" s="7" t="s">
        <v>775</v>
      </c>
    </row>
    <row r="11" spans="1:27" ht="22.35" customHeight="1">
      <c r="A11" s="136"/>
      <c r="B11" s="41" t="s">
        <v>261</v>
      </c>
      <c r="C11" s="41"/>
      <c r="D11" s="41"/>
      <c r="E11" s="41"/>
      <c r="F11" s="3" t="s">
        <v>617</v>
      </c>
      <c r="G11" s="3" t="s">
        <v>776</v>
      </c>
      <c r="H11" s="3" t="s">
        <v>777</v>
      </c>
      <c r="I11" s="3" t="s">
        <v>778</v>
      </c>
      <c r="J11" s="3" t="s">
        <v>779</v>
      </c>
      <c r="K11" s="3" t="s">
        <v>780</v>
      </c>
      <c r="L11" s="3" t="s">
        <v>781</v>
      </c>
      <c r="M11" s="3" t="s">
        <v>617</v>
      </c>
      <c r="N11" s="3" t="s">
        <v>782</v>
      </c>
      <c r="O11" s="7" t="s">
        <v>783</v>
      </c>
      <c r="W11" s="138" t="s">
        <v>287</v>
      </c>
      <c r="X11" s="138"/>
      <c r="Y11" s="138"/>
      <c r="Z11" s="138"/>
      <c r="AA11" s="138"/>
    </row>
    <row r="12" spans="1:27" ht="22.35" customHeight="1">
      <c r="A12" s="136"/>
      <c r="B12" s="41" t="s">
        <v>274</v>
      </c>
      <c r="C12" s="41"/>
      <c r="D12" s="41"/>
      <c r="E12" s="41"/>
      <c r="F12" s="3" t="s">
        <v>784</v>
      </c>
      <c r="G12" s="3" t="s">
        <v>785</v>
      </c>
      <c r="H12" s="3" t="s">
        <v>627</v>
      </c>
      <c r="I12" s="3" t="s">
        <v>786</v>
      </c>
      <c r="J12" s="3" t="s">
        <v>787</v>
      </c>
      <c r="K12" s="3" t="s">
        <v>788</v>
      </c>
      <c r="L12" s="3" t="s">
        <v>789</v>
      </c>
      <c r="M12" s="3" t="s">
        <v>790</v>
      </c>
      <c r="N12" s="3" t="s">
        <v>791</v>
      </c>
      <c r="O12" s="7" t="s">
        <v>644</v>
      </c>
      <c r="W12" s="65" t="s">
        <v>299</v>
      </c>
      <c r="X12" s="66" t="s">
        <v>300</v>
      </c>
      <c r="Y12" s="66" t="s">
        <v>301</v>
      </c>
      <c r="Z12" s="66" t="s">
        <v>302</v>
      </c>
      <c r="AA12" s="67" t="s">
        <v>303</v>
      </c>
    </row>
    <row r="13" spans="1:27" ht="30.45" customHeight="1">
      <c r="A13" s="136"/>
      <c r="B13" s="41" t="s">
        <v>288</v>
      </c>
      <c r="C13" s="41"/>
      <c r="D13" s="41"/>
      <c r="E13" s="41"/>
      <c r="F13" s="3" t="s">
        <v>639</v>
      </c>
      <c r="G13" s="3" t="s">
        <v>792</v>
      </c>
      <c r="H13" s="3" t="s">
        <v>292</v>
      </c>
      <c r="I13" s="3" t="s">
        <v>793</v>
      </c>
      <c r="J13" s="3" t="s">
        <v>794</v>
      </c>
      <c r="K13" s="3" t="s">
        <v>639</v>
      </c>
      <c r="L13" s="3" t="s">
        <v>795</v>
      </c>
      <c r="M13" s="3" t="s">
        <v>796</v>
      </c>
      <c r="N13" s="3" t="s">
        <v>797</v>
      </c>
      <c r="O13" s="7" t="s">
        <v>798</v>
      </c>
      <c r="W13" s="74">
        <v>1</v>
      </c>
      <c r="X13" s="76" t="s">
        <v>316</v>
      </c>
      <c r="Y13" s="69" t="s">
        <v>799</v>
      </c>
      <c r="Z13" s="69" t="s">
        <v>800</v>
      </c>
      <c r="AA13" s="78" t="s">
        <v>89</v>
      </c>
    </row>
    <row r="14" spans="1:27" ht="30.45" customHeight="1">
      <c r="A14" s="136" t="s">
        <v>304</v>
      </c>
      <c r="B14" s="41" t="s">
        <v>305</v>
      </c>
      <c r="C14" s="41"/>
      <c r="D14" s="41"/>
      <c r="E14" s="41"/>
      <c r="F14" s="3" t="s">
        <v>801</v>
      </c>
      <c r="G14" s="3" t="s">
        <v>665</v>
      </c>
      <c r="H14" s="3" t="s">
        <v>665</v>
      </c>
      <c r="I14" s="3" t="s">
        <v>802</v>
      </c>
      <c r="J14" s="3" t="s">
        <v>803</v>
      </c>
      <c r="K14" s="3" t="s">
        <v>355</v>
      </c>
      <c r="L14" s="3" t="s">
        <v>665</v>
      </c>
      <c r="M14" s="3" t="s">
        <v>804</v>
      </c>
      <c r="N14" s="3" t="s">
        <v>805</v>
      </c>
      <c r="O14" s="7" t="s">
        <v>660</v>
      </c>
      <c r="W14" s="74">
        <v>2</v>
      </c>
      <c r="X14" s="76" t="s">
        <v>316</v>
      </c>
      <c r="Y14" s="69" t="s">
        <v>806</v>
      </c>
      <c r="Z14" s="69" t="s">
        <v>807</v>
      </c>
      <c r="AA14" s="78" t="s">
        <v>758</v>
      </c>
    </row>
    <row r="15" spans="1:27" ht="30.45" customHeight="1">
      <c r="A15" s="136"/>
      <c r="B15" s="41" t="s">
        <v>319</v>
      </c>
      <c r="C15" s="41"/>
      <c r="D15" s="41"/>
      <c r="E15" s="41"/>
      <c r="F15" s="3" t="s">
        <v>665</v>
      </c>
      <c r="G15" s="3" t="s">
        <v>808</v>
      </c>
      <c r="H15" s="3" t="s">
        <v>809</v>
      </c>
      <c r="I15" s="3" t="s">
        <v>810</v>
      </c>
      <c r="J15" s="3" t="s">
        <v>811</v>
      </c>
      <c r="K15" s="3" t="s">
        <v>665</v>
      </c>
      <c r="L15" s="3" t="s">
        <v>812</v>
      </c>
      <c r="M15" s="3" t="s">
        <v>524</v>
      </c>
      <c r="N15" s="3" t="s">
        <v>813</v>
      </c>
      <c r="O15" s="7" t="s">
        <v>644</v>
      </c>
      <c r="W15" s="74">
        <v>3</v>
      </c>
      <c r="X15" s="76" t="s">
        <v>316</v>
      </c>
      <c r="Y15" s="69" t="s">
        <v>814</v>
      </c>
      <c r="Z15" s="69" t="s">
        <v>815</v>
      </c>
      <c r="AA15" s="78" t="s">
        <v>759</v>
      </c>
    </row>
    <row r="16" spans="1:27" ht="30.45" customHeight="1">
      <c r="A16" s="136"/>
      <c r="B16" s="41" t="s">
        <v>335</v>
      </c>
      <c r="C16" s="41"/>
      <c r="D16" s="41"/>
      <c r="E16" s="41"/>
      <c r="F16" s="3" t="s">
        <v>686</v>
      </c>
      <c r="G16" s="3" t="s">
        <v>816</v>
      </c>
      <c r="H16" s="3" t="s">
        <v>817</v>
      </c>
      <c r="I16" s="3" t="s">
        <v>686</v>
      </c>
      <c r="J16" s="3" t="s">
        <v>818</v>
      </c>
      <c r="K16" s="3" t="s">
        <v>819</v>
      </c>
      <c r="L16" s="3" t="s">
        <v>820</v>
      </c>
      <c r="M16" s="3" t="s">
        <v>821</v>
      </c>
      <c r="N16" s="3" t="s">
        <v>822</v>
      </c>
      <c r="O16" s="7" t="s">
        <v>686</v>
      </c>
      <c r="W16" s="74">
        <v>4</v>
      </c>
      <c r="X16" s="76" t="s">
        <v>316</v>
      </c>
      <c r="Y16" s="69" t="s">
        <v>823</v>
      </c>
      <c r="Z16" s="69" t="s">
        <v>824</v>
      </c>
      <c r="AA16" s="78" t="s">
        <v>760</v>
      </c>
    </row>
    <row r="17" spans="1:27" ht="30.45" customHeight="1">
      <c r="A17" s="136"/>
      <c r="B17" s="41" t="s">
        <v>346</v>
      </c>
      <c r="C17" s="41"/>
      <c r="D17" s="41"/>
      <c r="E17" s="41"/>
      <c r="F17" s="3" t="s">
        <v>825</v>
      </c>
      <c r="G17" s="3" t="s">
        <v>826</v>
      </c>
      <c r="H17" s="3" t="s">
        <v>827</v>
      </c>
      <c r="I17" s="3" t="s">
        <v>828</v>
      </c>
      <c r="J17" s="3" t="s">
        <v>829</v>
      </c>
      <c r="K17" s="3" t="s">
        <v>830</v>
      </c>
      <c r="L17" s="3" t="s">
        <v>803</v>
      </c>
      <c r="M17" s="3" t="s">
        <v>831</v>
      </c>
      <c r="N17" s="3" t="s">
        <v>832</v>
      </c>
      <c r="O17" s="7" t="s">
        <v>833</v>
      </c>
      <c r="W17" s="74">
        <v>5</v>
      </c>
      <c r="X17" s="76" t="s">
        <v>316</v>
      </c>
      <c r="Y17" s="69" t="s">
        <v>834</v>
      </c>
      <c r="Z17" s="69" t="s">
        <v>835</v>
      </c>
      <c r="AA17" s="78" t="s">
        <v>761</v>
      </c>
    </row>
    <row r="18" spans="1:27" ht="30.45" customHeight="1">
      <c r="A18" s="136"/>
      <c r="B18" s="41" t="s">
        <v>302</v>
      </c>
      <c r="C18" s="41"/>
      <c r="D18" s="41"/>
      <c r="E18" s="41"/>
      <c r="F18" s="3" t="s">
        <v>800</v>
      </c>
      <c r="G18" s="3" t="s">
        <v>807</v>
      </c>
      <c r="H18" s="3" t="s">
        <v>815</v>
      </c>
      <c r="I18" s="3" t="s">
        <v>824</v>
      </c>
      <c r="J18" s="3" t="s">
        <v>835</v>
      </c>
      <c r="K18" s="3" t="s">
        <v>836</v>
      </c>
      <c r="L18" s="3" t="s">
        <v>837</v>
      </c>
      <c r="M18" s="3" t="s">
        <v>838</v>
      </c>
      <c r="N18" s="3" t="s">
        <v>839</v>
      </c>
      <c r="O18" s="7" t="s">
        <v>840</v>
      </c>
      <c r="W18" s="74">
        <v>6</v>
      </c>
      <c r="X18" s="76" t="s">
        <v>357</v>
      </c>
      <c r="Y18" s="69" t="s">
        <v>841</v>
      </c>
      <c r="Z18" s="69" t="s">
        <v>836</v>
      </c>
      <c r="AA18" s="78" t="s">
        <v>762</v>
      </c>
    </row>
    <row r="19" spans="1:27" ht="30.45" customHeight="1">
      <c r="A19" s="136"/>
      <c r="B19" s="41" t="s">
        <v>369</v>
      </c>
      <c r="C19" s="41"/>
      <c r="D19" s="41"/>
      <c r="E19" s="41"/>
      <c r="F19" s="3"/>
      <c r="G19" s="3"/>
      <c r="H19" s="3"/>
      <c r="I19" s="3"/>
      <c r="J19" s="3"/>
      <c r="K19" s="3"/>
      <c r="L19" s="3"/>
      <c r="M19" s="3" t="s">
        <v>842</v>
      </c>
      <c r="N19" s="3"/>
      <c r="O19" s="7"/>
      <c r="W19" s="74">
        <v>7</v>
      </c>
      <c r="X19" s="76" t="s">
        <v>357</v>
      </c>
      <c r="Y19" s="69" t="s">
        <v>843</v>
      </c>
      <c r="Z19" s="69" t="s">
        <v>837</v>
      </c>
      <c r="AA19" s="78" t="s">
        <v>763</v>
      </c>
    </row>
    <row r="20" spans="1:27" ht="30.45" customHeight="1">
      <c r="A20" s="136"/>
      <c r="B20" s="41" t="s">
        <v>378</v>
      </c>
      <c r="C20" s="41"/>
      <c r="D20" s="41"/>
      <c r="E20" s="41"/>
      <c r="F20" s="3" t="s">
        <v>844</v>
      </c>
      <c r="G20" s="3" t="s">
        <v>845</v>
      </c>
      <c r="H20" s="3" t="s">
        <v>846</v>
      </c>
      <c r="I20" s="3" t="s">
        <v>847</v>
      </c>
      <c r="J20" s="3" t="s">
        <v>848</v>
      </c>
      <c r="K20" s="3" t="s">
        <v>849</v>
      </c>
      <c r="L20" s="3" t="s">
        <v>850</v>
      </c>
      <c r="M20" s="3" t="s">
        <v>851</v>
      </c>
      <c r="N20" s="3" t="s">
        <v>852</v>
      </c>
      <c r="O20" s="7" t="s">
        <v>853</v>
      </c>
      <c r="W20" s="74">
        <v>8</v>
      </c>
      <c r="X20" s="76" t="s">
        <v>332</v>
      </c>
      <c r="Y20" s="69" t="s">
        <v>854</v>
      </c>
      <c r="Z20" s="69" t="s">
        <v>838</v>
      </c>
      <c r="AA20" s="78" t="s">
        <v>764</v>
      </c>
    </row>
    <row r="21" spans="1:27" ht="30.45" customHeight="1">
      <c r="A21" s="136" t="s">
        <v>392</v>
      </c>
      <c r="B21" s="41" t="s">
        <v>393</v>
      </c>
      <c r="C21" s="41"/>
      <c r="D21" s="41"/>
      <c r="E21" s="41"/>
      <c r="F21" s="48" t="s">
        <v>184</v>
      </c>
      <c r="G21" s="48" t="s">
        <v>184</v>
      </c>
      <c r="H21" s="48" t="s">
        <v>184</v>
      </c>
      <c r="I21" s="48" t="s">
        <v>184</v>
      </c>
      <c r="J21" s="48" t="s">
        <v>184</v>
      </c>
      <c r="K21" s="48" t="s">
        <v>186</v>
      </c>
      <c r="L21" s="48" t="s">
        <v>186</v>
      </c>
      <c r="M21" s="48" t="s">
        <v>185</v>
      </c>
      <c r="N21" s="48" t="s">
        <v>186</v>
      </c>
      <c r="O21" s="49" t="s">
        <v>186</v>
      </c>
      <c r="W21" s="74">
        <v>9</v>
      </c>
      <c r="X21" s="76" t="s">
        <v>357</v>
      </c>
      <c r="Y21" s="69" t="s">
        <v>855</v>
      </c>
      <c r="Z21" s="69" t="s">
        <v>839</v>
      </c>
      <c r="AA21" s="78" t="s">
        <v>765</v>
      </c>
    </row>
    <row r="22" spans="1:27" ht="19.2" customHeight="1">
      <c r="A22" s="136"/>
      <c r="B22" s="83" t="s">
        <v>395</v>
      </c>
      <c r="C22" s="84"/>
      <c r="D22" s="84"/>
      <c r="E22" s="85"/>
      <c r="F22" s="86"/>
      <c r="G22" s="87"/>
      <c r="H22" s="87"/>
      <c r="I22" s="87"/>
      <c r="J22" s="87"/>
      <c r="K22" s="87"/>
      <c r="L22" s="87"/>
      <c r="M22" s="87"/>
      <c r="N22" s="87"/>
      <c r="O22" s="88"/>
      <c r="W22" s="75">
        <v>10</v>
      </c>
      <c r="X22" s="77" t="s">
        <v>357</v>
      </c>
      <c r="Y22" s="72" t="s">
        <v>856</v>
      </c>
      <c r="Z22" s="72" t="s">
        <v>840</v>
      </c>
      <c r="AA22" s="79" t="s">
        <v>766</v>
      </c>
    </row>
    <row r="23" spans="1:27">
      <c r="A23" s="136"/>
      <c r="B23" s="41" t="s">
        <v>397</v>
      </c>
      <c r="C23" s="41"/>
      <c r="D23" s="41"/>
      <c r="E23" s="41"/>
      <c r="F23" s="50"/>
      <c r="G23" s="50"/>
      <c r="H23" s="50"/>
      <c r="I23" s="50"/>
      <c r="J23" s="50"/>
      <c r="K23" s="50"/>
      <c r="L23" s="50"/>
      <c r="M23" s="50"/>
      <c r="N23" s="50"/>
      <c r="O23" s="51"/>
    </row>
    <row r="24" spans="1:27">
      <c r="A24" s="137"/>
      <c r="B24" s="45" t="s">
        <v>399</v>
      </c>
      <c r="C24" s="45"/>
      <c r="D24" s="45"/>
      <c r="E24" s="45"/>
      <c r="F24" s="46"/>
      <c r="G24" s="46"/>
      <c r="H24" s="46"/>
      <c r="I24" s="46"/>
      <c r="J24" s="46"/>
      <c r="K24" s="46"/>
      <c r="L24" s="46"/>
      <c r="M24" s="46"/>
      <c r="N24" s="46"/>
      <c r="O24" s="47"/>
    </row>
  </sheetData>
  <mergeCells count="32">
    <mergeCell ref="W2:AA2"/>
    <mergeCell ref="W8:AA8"/>
    <mergeCell ref="W11:AA11"/>
    <mergeCell ref="K7:L7"/>
    <mergeCell ref="M7:N7"/>
    <mergeCell ref="A10:A13"/>
    <mergeCell ref="A14:A20"/>
    <mergeCell ref="A21:A24"/>
    <mergeCell ref="A7:B7"/>
    <mergeCell ref="C7:D7"/>
    <mergeCell ref="E7:F7"/>
    <mergeCell ref="G7:H7"/>
    <mergeCell ref="I7:J7"/>
    <mergeCell ref="A4:B4"/>
    <mergeCell ref="C4:O4"/>
    <mergeCell ref="A5:B5"/>
    <mergeCell ref="C5:O5"/>
    <mergeCell ref="A6:B6"/>
    <mergeCell ref="C6:D6"/>
    <mergeCell ref="E6:F6"/>
    <mergeCell ref="G6:H6"/>
    <mergeCell ref="I6:J6"/>
    <mergeCell ref="K6:L6"/>
    <mergeCell ref="M6:N6"/>
    <mergeCell ref="A2:B2"/>
    <mergeCell ref="C2:D2"/>
    <mergeCell ref="F2:G2"/>
    <mergeCell ref="H2:O2"/>
    <mergeCell ref="A3:B3"/>
    <mergeCell ref="C3:D3"/>
    <mergeCell ref="F3:G3"/>
    <mergeCell ref="H3:O3"/>
  </mergeCells>
  <conditionalFormatting sqref="F22:O22">
    <cfRule type="expression" dxfId="41" priority="1">
      <formula>F22="Passed"</formula>
    </cfRule>
    <cfRule type="expression" dxfId="40" priority="2">
      <formula>F22="Failed"</formula>
    </cfRule>
    <cfRule type="expression" dxfId="39" priority="3">
      <formula>F22="Blocked"</formula>
    </cfRule>
  </conditionalFormatting>
  <dataValidations count="1">
    <dataValidation type="list" sqref="F22:O22" xr:uid="{00000000-0002-0000-0700-000000000000}">
      <formula1>"Passed,Failed,Blocked"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28"/>
  <sheetViews>
    <sheetView topLeftCell="A25" workbookViewId="0">
      <selection activeCell="C3" sqref="C3:D3"/>
    </sheetView>
  </sheetViews>
  <sheetFormatPr defaultRowHeight="13.8"/>
  <cols>
    <col min="1" max="1" width="15" customWidth="1"/>
    <col min="2" max="5" width="16" customWidth="1"/>
    <col min="6" max="20" width="20" customWidth="1"/>
    <col min="23" max="24" width="20" customWidth="1"/>
    <col min="25" max="26" width="38" customWidth="1"/>
    <col min="27" max="27" width="16" customWidth="1"/>
  </cols>
  <sheetData>
    <row r="1" spans="1:27">
      <c r="A1" s="1"/>
      <c r="B1" s="1"/>
      <c r="C1" s="1"/>
      <c r="D1" s="1"/>
      <c r="E1" s="1"/>
      <c r="F1" s="1"/>
      <c r="G1" s="1"/>
      <c r="H1" s="1"/>
      <c r="I1" s="1"/>
      <c r="J1" s="1"/>
      <c r="K1" s="1"/>
      <c r="L1" s="1"/>
      <c r="M1" s="1"/>
      <c r="N1" s="1"/>
      <c r="O1" s="1"/>
      <c r="P1" s="1"/>
      <c r="Q1" s="1"/>
      <c r="R1" s="1"/>
      <c r="S1" s="1"/>
      <c r="T1" s="1"/>
    </row>
    <row r="2" spans="1:27" ht="22.35" customHeight="1">
      <c r="A2" s="122" t="s">
        <v>199</v>
      </c>
      <c r="B2" s="123"/>
      <c r="C2" s="124" t="s">
        <v>95</v>
      </c>
      <c r="D2" s="124"/>
      <c r="E2" s="18"/>
      <c r="F2" s="123" t="s">
        <v>63</v>
      </c>
      <c r="G2" s="123"/>
      <c r="H2" s="124" t="s">
        <v>94</v>
      </c>
      <c r="I2" s="124"/>
      <c r="J2" s="124"/>
      <c r="K2" s="124"/>
      <c r="L2" s="124"/>
      <c r="M2" s="124"/>
      <c r="N2" s="124"/>
      <c r="O2" s="124"/>
      <c r="P2" s="124"/>
      <c r="Q2" s="124"/>
      <c r="R2" s="124"/>
      <c r="S2" s="124"/>
      <c r="T2" s="125"/>
      <c r="W2" s="138" t="s">
        <v>200</v>
      </c>
      <c r="X2" s="138"/>
      <c r="Y2" s="138"/>
      <c r="Z2" s="138"/>
      <c r="AA2" s="138"/>
    </row>
    <row r="3" spans="1:27" ht="22.35" customHeight="1">
      <c r="A3" s="126" t="s">
        <v>201</v>
      </c>
      <c r="B3" s="127"/>
      <c r="C3" s="128" t="s">
        <v>37</v>
      </c>
      <c r="D3" s="128"/>
      <c r="E3" s="1"/>
      <c r="F3" s="127" t="s">
        <v>202</v>
      </c>
      <c r="G3" s="127"/>
      <c r="H3" s="128"/>
      <c r="I3" s="128"/>
      <c r="J3" s="128"/>
      <c r="K3" s="128"/>
      <c r="L3" s="128"/>
      <c r="M3" s="128"/>
      <c r="N3" s="128"/>
      <c r="O3" s="128"/>
      <c r="P3" s="128"/>
      <c r="Q3" s="128"/>
      <c r="R3" s="128"/>
      <c r="S3" s="128"/>
      <c r="T3" s="129"/>
      <c r="W3" s="65" t="s">
        <v>203</v>
      </c>
      <c r="X3" s="66" t="s">
        <v>204</v>
      </c>
      <c r="Y3" s="66" t="s">
        <v>205</v>
      </c>
      <c r="Z3" s="66" t="s">
        <v>206</v>
      </c>
      <c r="AA3" s="67" t="s">
        <v>207</v>
      </c>
    </row>
    <row r="4" spans="1:27" ht="30.45" customHeight="1">
      <c r="A4" s="126" t="s">
        <v>208</v>
      </c>
      <c r="B4" s="127"/>
      <c r="C4" s="128" t="s">
        <v>857</v>
      </c>
      <c r="D4" s="128"/>
      <c r="E4" s="128"/>
      <c r="F4" s="128"/>
      <c r="G4" s="128"/>
      <c r="H4" s="128"/>
      <c r="I4" s="128"/>
      <c r="J4" s="128"/>
      <c r="K4" s="128"/>
      <c r="L4" s="128"/>
      <c r="M4" s="128"/>
      <c r="N4" s="128"/>
      <c r="O4" s="128"/>
      <c r="P4" s="128"/>
      <c r="Q4" s="128"/>
      <c r="R4" s="128"/>
      <c r="S4" s="128"/>
      <c r="T4" s="129"/>
      <c r="W4" s="68" t="s">
        <v>858</v>
      </c>
      <c r="X4" s="69" t="s">
        <v>859</v>
      </c>
      <c r="Y4" s="69" t="s">
        <v>860</v>
      </c>
      <c r="Z4" s="69" t="s">
        <v>861</v>
      </c>
      <c r="AA4" s="70" t="s">
        <v>862</v>
      </c>
    </row>
    <row r="5" spans="1:27" ht="30.45" customHeight="1">
      <c r="A5" s="126" t="s">
        <v>215</v>
      </c>
      <c r="B5" s="127"/>
      <c r="C5" s="128" t="s">
        <v>92</v>
      </c>
      <c r="D5" s="128"/>
      <c r="E5" s="128"/>
      <c r="F5" s="128"/>
      <c r="G5" s="128"/>
      <c r="H5" s="128"/>
      <c r="I5" s="128"/>
      <c r="J5" s="128"/>
      <c r="K5" s="128"/>
      <c r="L5" s="128"/>
      <c r="M5" s="128"/>
      <c r="N5" s="128"/>
      <c r="O5" s="128"/>
      <c r="P5" s="128"/>
      <c r="Q5" s="128"/>
      <c r="R5" s="128"/>
      <c r="S5" s="128"/>
      <c r="T5" s="129"/>
      <c r="W5" s="68" t="s">
        <v>863</v>
      </c>
      <c r="X5" s="69" t="s">
        <v>864</v>
      </c>
      <c r="Y5" s="69" t="s">
        <v>865</v>
      </c>
      <c r="Z5" s="69" t="s">
        <v>866</v>
      </c>
      <c r="AA5" s="70" t="s">
        <v>867</v>
      </c>
    </row>
    <row r="6" spans="1:27" ht="30.45" customHeight="1">
      <c r="A6" s="130" t="s">
        <v>173</v>
      </c>
      <c r="B6" s="131"/>
      <c r="C6" s="131" t="s">
        <v>174</v>
      </c>
      <c r="D6" s="131"/>
      <c r="E6" s="131" t="s">
        <v>175</v>
      </c>
      <c r="F6" s="131"/>
      <c r="G6" s="131" t="s">
        <v>180</v>
      </c>
      <c r="H6" s="131"/>
      <c r="I6" s="131" t="s">
        <v>184</v>
      </c>
      <c r="J6" s="131"/>
      <c r="K6" s="131" t="s">
        <v>185</v>
      </c>
      <c r="L6" s="131"/>
      <c r="M6" s="131" t="s">
        <v>186</v>
      </c>
      <c r="N6" s="131"/>
      <c r="O6" s="131" t="s">
        <v>187</v>
      </c>
      <c r="P6" s="131"/>
      <c r="Q6" s="131"/>
      <c r="R6" s="131"/>
      <c r="S6" s="131"/>
      <c r="T6" s="132"/>
      <c r="W6" s="68" t="s">
        <v>868</v>
      </c>
      <c r="X6" s="69" t="s">
        <v>869</v>
      </c>
      <c r="Y6" s="69" t="s">
        <v>870</v>
      </c>
      <c r="Z6" s="69" t="s">
        <v>871</v>
      </c>
      <c r="AA6" s="70" t="s">
        <v>872</v>
      </c>
    </row>
    <row r="7" spans="1:27" ht="30.45" customHeight="1">
      <c r="A7" s="133">
        <f>COUNTIF(F22:T22,"Passed")</f>
        <v>0</v>
      </c>
      <c r="B7" s="134"/>
      <c r="C7" s="134">
        <f>COUNTIF(F22:T22,"Failed")</f>
        <v>0</v>
      </c>
      <c r="D7" s="134"/>
      <c r="E7" s="134">
        <f>COUNTIF(F22:T22,"Blocked")</f>
        <v>0</v>
      </c>
      <c r="F7" s="134"/>
      <c r="G7" s="134">
        <f>15-A7-C7-E7</f>
        <v>15</v>
      </c>
      <c r="H7" s="134"/>
      <c r="I7" s="134">
        <f>COUNTIF(F21:T21,"N")</f>
        <v>13</v>
      </c>
      <c r="J7" s="134"/>
      <c r="K7" s="134">
        <f>COUNTIF(F21:T21,"A")</f>
        <v>2</v>
      </c>
      <c r="L7" s="134"/>
      <c r="M7" s="134">
        <f>COUNTIF(F21:T21,"B")</f>
        <v>0</v>
      </c>
      <c r="N7" s="134"/>
      <c r="O7" s="134">
        <v>15</v>
      </c>
      <c r="P7" s="134"/>
      <c r="Q7" s="134"/>
      <c r="R7" s="134"/>
      <c r="S7" s="134"/>
      <c r="T7" s="135"/>
      <c r="W7" s="68" t="s">
        <v>873</v>
      </c>
      <c r="X7" s="69" t="s">
        <v>874</v>
      </c>
      <c r="Y7" s="69" t="s">
        <v>875</v>
      </c>
      <c r="Z7" s="69" t="s">
        <v>876</v>
      </c>
      <c r="AA7" s="70" t="s">
        <v>877</v>
      </c>
    </row>
    <row r="8" spans="1:27" ht="30.45" customHeight="1">
      <c r="A8" s="1"/>
      <c r="B8" s="1"/>
      <c r="C8" s="1"/>
      <c r="D8" s="1"/>
      <c r="E8" s="1"/>
      <c r="F8" s="1"/>
      <c r="G8" s="1"/>
      <c r="H8" s="1"/>
      <c r="I8" s="1"/>
      <c r="J8" s="1"/>
      <c r="K8" s="1"/>
      <c r="L8" s="1"/>
      <c r="M8" s="1"/>
      <c r="N8" s="1"/>
      <c r="O8" s="1"/>
      <c r="P8" s="1"/>
      <c r="Q8" s="1"/>
      <c r="R8" s="1"/>
      <c r="S8" s="1"/>
      <c r="T8" s="1"/>
      <c r="W8" s="71" t="s">
        <v>878</v>
      </c>
      <c r="X8" s="72" t="s">
        <v>879</v>
      </c>
      <c r="Y8" s="72" t="s">
        <v>880</v>
      </c>
      <c r="Z8" s="72" t="s">
        <v>881</v>
      </c>
      <c r="AA8" s="73" t="s">
        <v>752</v>
      </c>
    </row>
    <row r="9" spans="1:27" ht="35.25" customHeight="1">
      <c r="A9" s="42"/>
      <c r="B9" s="43"/>
      <c r="C9" s="43"/>
      <c r="D9" s="43"/>
      <c r="E9" s="43"/>
      <c r="F9" s="43" t="s">
        <v>95</v>
      </c>
      <c r="G9" s="43" t="s">
        <v>882</v>
      </c>
      <c r="H9" s="43" t="s">
        <v>883</v>
      </c>
      <c r="I9" s="43" t="s">
        <v>884</v>
      </c>
      <c r="J9" s="43" t="s">
        <v>885</v>
      </c>
      <c r="K9" s="43" t="s">
        <v>886</v>
      </c>
      <c r="L9" s="43" t="s">
        <v>887</v>
      </c>
      <c r="M9" s="43" t="s">
        <v>888</v>
      </c>
      <c r="N9" s="43" t="s">
        <v>889</v>
      </c>
      <c r="O9" s="43" t="s">
        <v>890</v>
      </c>
      <c r="P9" s="43" t="s">
        <v>891</v>
      </c>
      <c r="Q9" s="43" t="s">
        <v>892</v>
      </c>
      <c r="R9" s="43" t="s">
        <v>893</v>
      </c>
      <c r="S9" s="43" t="s">
        <v>894</v>
      </c>
      <c r="T9" s="44" t="s">
        <v>895</v>
      </c>
      <c r="W9" s="139" t="s">
        <v>247</v>
      </c>
      <c r="X9" s="140"/>
      <c r="Y9" s="140"/>
      <c r="Z9" s="140"/>
      <c r="AA9" s="141"/>
    </row>
    <row r="10" spans="1:27" ht="38.4" customHeight="1">
      <c r="A10" s="136" t="s">
        <v>248</v>
      </c>
      <c r="B10" s="41" t="s">
        <v>249</v>
      </c>
      <c r="C10" s="41"/>
      <c r="D10" s="41"/>
      <c r="E10" s="41"/>
      <c r="F10" s="3" t="s">
        <v>896</v>
      </c>
      <c r="G10" s="3" t="s">
        <v>897</v>
      </c>
      <c r="H10" s="3" t="s">
        <v>898</v>
      </c>
      <c r="I10" s="3" t="s">
        <v>899</v>
      </c>
      <c r="J10" s="3" t="s">
        <v>900</v>
      </c>
      <c r="K10" s="3" t="s">
        <v>901</v>
      </c>
      <c r="L10" s="3" t="s">
        <v>858</v>
      </c>
      <c r="M10" s="3" t="s">
        <v>902</v>
      </c>
      <c r="N10" s="3" t="s">
        <v>903</v>
      </c>
      <c r="O10" s="3" t="s">
        <v>904</v>
      </c>
      <c r="P10" s="3" t="s">
        <v>905</v>
      </c>
      <c r="Q10" s="3" t="s">
        <v>906</v>
      </c>
      <c r="R10" s="3" t="s">
        <v>907</v>
      </c>
      <c r="S10" s="3" t="s">
        <v>908</v>
      </c>
      <c r="T10" s="7" t="s">
        <v>909</v>
      </c>
    </row>
    <row r="11" spans="1:27" ht="35.25" customHeight="1">
      <c r="A11" s="136"/>
      <c r="B11" s="41" t="s">
        <v>261</v>
      </c>
      <c r="C11" s="41"/>
      <c r="D11" s="41"/>
      <c r="E11" s="41"/>
      <c r="F11" s="3" t="s">
        <v>777</v>
      </c>
      <c r="G11" s="3" t="s">
        <v>910</v>
      </c>
      <c r="H11" s="3" t="s">
        <v>628</v>
      </c>
      <c r="I11" s="3" t="s">
        <v>628</v>
      </c>
      <c r="J11" s="3" t="s">
        <v>628</v>
      </c>
      <c r="K11" s="3" t="s">
        <v>628</v>
      </c>
      <c r="L11" s="3" t="s">
        <v>911</v>
      </c>
      <c r="M11" s="3" t="s">
        <v>911</v>
      </c>
      <c r="N11" s="3" t="s">
        <v>912</v>
      </c>
      <c r="O11" s="3" t="s">
        <v>913</v>
      </c>
      <c r="P11" s="3" t="s">
        <v>914</v>
      </c>
      <c r="Q11" s="3" t="s">
        <v>915</v>
      </c>
      <c r="R11" s="3" t="s">
        <v>916</v>
      </c>
      <c r="S11" s="3" t="s">
        <v>917</v>
      </c>
      <c r="T11" s="7" t="s">
        <v>918</v>
      </c>
    </row>
    <row r="12" spans="1:27" ht="22.35" customHeight="1">
      <c r="A12" s="136"/>
      <c r="B12" s="41" t="s">
        <v>274</v>
      </c>
      <c r="C12" s="41"/>
      <c r="D12" s="41"/>
      <c r="E12" s="41"/>
      <c r="F12" s="3" t="s">
        <v>919</v>
      </c>
      <c r="G12" s="3" t="s">
        <v>920</v>
      </c>
      <c r="H12" s="3" t="s">
        <v>921</v>
      </c>
      <c r="I12" s="3" t="s">
        <v>922</v>
      </c>
      <c r="J12" s="3" t="s">
        <v>923</v>
      </c>
      <c r="K12" s="3" t="s">
        <v>924</v>
      </c>
      <c r="L12" s="3" t="s">
        <v>925</v>
      </c>
      <c r="M12" s="3" t="s">
        <v>926</v>
      </c>
      <c r="N12" s="3" t="s">
        <v>927</v>
      </c>
      <c r="O12" s="3" t="s">
        <v>928</v>
      </c>
      <c r="P12" s="3" t="s">
        <v>929</v>
      </c>
      <c r="Q12" s="3" t="s">
        <v>930</v>
      </c>
      <c r="R12" s="3" t="s">
        <v>931</v>
      </c>
      <c r="S12" s="3" t="s">
        <v>932</v>
      </c>
      <c r="T12" s="7" t="s">
        <v>933</v>
      </c>
      <c r="W12" s="138" t="s">
        <v>287</v>
      </c>
      <c r="X12" s="138"/>
      <c r="Y12" s="138"/>
      <c r="Z12" s="138"/>
      <c r="AA12" s="138"/>
    </row>
    <row r="13" spans="1:27" ht="22.35" customHeight="1">
      <c r="A13" s="136"/>
      <c r="B13" s="41" t="s">
        <v>288</v>
      </c>
      <c r="C13" s="41"/>
      <c r="D13" s="41"/>
      <c r="E13" s="41"/>
      <c r="F13" s="3" t="s">
        <v>748</v>
      </c>
      <c r="G13" s="3" t="s">
        <v>793</v>
      </c>
      <c r="H13" s="3" t="s">
        <v>934</v>
      </c>
      <c r="I13" s="3" t="s">
        <v>935</v>
      </c>
      <c r="J13" s="3" t="s">
        <v>936</v>
      </c>
      <c r="K13" s="3" t="s">
        <v>937</v>
      </c>
      <c r="L13" s="3" t="s">
        <v>860</v>
      </c>
      <c r="M13" s="3" t="s">
        <v>292</v>
      </c>
      <c r="N13" s="3" t="s">
        <v>938</v>
      </c>
      <c r="O13" s="3" t="s">
        <v>939</v>
      </c>
      <c r="P13" s="3" t="s">
        <v>940</v>
      </c>
      <c r="Q13" s="3" t="s">
        <v>941</v>
      </c>
      <c r="R13" s="3" t="s">
        <v>292</v>
      </c>
      <c r="S13" s="3" t="s">
        <v>942</v>
      </c>
      <c r="T13" s="7" t="s">
        <v>943</v>
      </c>
      <c r="W13" s="65" t="s">
        <v>299</v>
      </c>
      <c r="X13" s="66" t="s">
        <v>300</v>
      </c>
      <c r="Y13" s="66" t="s">
        <v>301</v>
      </c>
      <c r="Z13" s="66" t="s">
        <v>302</v>
      </c>
      <c r="AA13" s="67" t="s">
        <v>303</v>
      </c>
    </row>
    <row r="14" spans="1:27" ht="30.45" customHeight="1">
      <c r="A14" s="136" t="s">
        <v>304</v>
      </c>
      <c r="B14" s="41" t="s">
        <v>305</v>
      </c>
      <c r="C14" s="41"/>
      <c r="D14" s="41"/>
      <c r="E14" s="41"/>
      <c r="F14" s="3" t="s">
        <v>944</v>
      </c>
      <c r="G14" s="3" t="s">
        <v>944</v>
      </c>
      <c r="H14" s="3" t="s">
        <v>945</v>
      </c>
      <c r="I14" s="3" t="s">
        <v>945</v>
      </c>
      <c r="J14" s="3" t="s">
        <v>945</v>
      </c>
      <c r="K14" s="3" t="s">
        <v>945</v>
      </c>
      <c r="L14" s="3" t="s">
        <v>946</v>
      </c>
      <c r="M14" s="3" t="s">
        <v>947</v>
      </c>
      <c r="N14" s="3" t="s">
        <v>948</v>
      </c>
      <c r="O14" s="3" t="s">
        <v>949</v>
      </c>
      <c r="P14" s="3" t="s">
        <v>950</v>
      </c>
      <c r="Q14" s="3" t="s">
        <v>951</v>
      </c>
      <c r="R14" s="3" t="s">
        <v>952</v>
      </c>
      <c r="S14" s="3" t="s">
        <v>953</v>
      </c>
      <c r="T14" s="7" t="s">
        <v>954</v>
      </c>
      <c r="W14" s="74">
        <v>1</v>
      </c>
      <c r="X14" s="76" t="s">
        <v>316</v>
      </c>
      <c r="Y14" s="69" t="s">
        <v>955</v>
      </c>
      <c r="Z14" s="69" t="s">
        <v>956</v>
      </c>
      <c r="AA14" s="78" t="s">
        <v>95</v>
      </c>
    </row>
    <row r="15" spans="1:27" ht="30.45" customHeight="1">
      <c r="A15" s="136"/>
      <c r="B15" s="41" t="s">
        <v>319</v>
      </c>
      <c r="C15" s="41"/>
      <c r="D15" s="41"/>
      <c r="E15" s="41"/>
      <c r="F15" s="3" t="s">
        <v>957</v>
      </c>
      <c r="G15" s="3" t="s">
        <v>958</v>
      </c>
      <c r="H15" s="3" t="s">
        <v>959</v>
      </c>
      <c r="I15" s="3" t="s">
        <v>960</v>
      </c>
      <c r="J15" s="3" t="s">
        <v>961</v>
      </c>
      <c r="K15" s="3" t="s">
        <v>962</v>
      </c>
      <c r="L15" s="3" t="s">
        <v>929</v>
      </c>
      <c r="M15" s="3" t="s">
        <v>963</v>
      </c>
      <c r="N15" s="3" t="s">
        <v>503</v>
      </c>
      <c r="O15" s="3" t="s">
        <v>964</v>
      </c>
      <c r="P15" s="3" t="s">
        <v>965</v>
      </c>
      <c r="Q15" s="3" t="s">
        <v>966</v>
      </c>
      <c r="R15" s="3" t="s">
        <v>967</v>
      </c>
      <c r="S15" s="3" t="s">
        <v>670</v>
      </c>
      <c r="T15" s="7" t="s">
        <v>968</v>
      </c>
      <c r="W15" s="74">
        <v>2</v>
      </c>
      <c r="X15" s="76" t="s">
        <v>316</v>
      </c>
      <c r="Y15" s="69" t="s">
        <v>969</v>
      </c>
      <c r="Z15" s="69" t="s">
        <v>970</v>
      </c>
      <c r="AA15" s="78" t="s">
        <v>882</v>
      </c>
    </row>
    <row r="16" spans="1:27" ht="30.45" customHeight="1">
      <c r="A16" s="136"/>
      <c r="B16" s="41" t="s">
        <v>335</v>
      </c>
      <c r="C16" s="41"/>
      <c r="D16" s="41"/>
      <c r="E16" s="41"/>
      <c r="F16" s="3" t="s">
        <v>666</v>
      </c>
      <c r="G16" s="3" t="s">
        <v>971</v>
      </c>
      <c r="H16" s="3" t="s">
        <v>972</v>
      </c>
      <c r="I16" s="3" t="s">
        <v>973</v>
      </c>
      <c r="J16" s="3" t="s">
        <v>929</v>
      </c>
      <c r="K16" s="3" t="s">
        <v>974</v>
      </c>
      <c r="L16" s="3" t="s">
        <v>860</v>
      </c>
      <c r="M16" s="3" t="s">
        <v>975</v>
      </c>
      <c r="N16" s="3" t="s">
        <v>929</v>
      </c>
      <c r="O16" s="3" t="s">
        <v>976</v>
      </c>
      <c r="P16" s="3" t="s">
        <v>977</v>
      </c>
      <c r="Q16" s="3" t="s">
        <v>965</v>
      </c>
      <c r="R16" s="3" t="s">
        <v>978</v>
      </c>
      <c r="S16" s="3" t="s">
        <v>510</v>
      </c>
      <c r="T16" s="7" t="s">
        <v>336</v>
      </c>
      <c r="W16" s="74">
        <v>3</v>
      </c>
      <c r="X16" s="76" t="s">
        <v>316</v>
      </c>
      <c r="Y16" s="69" t="s">
        <v>979</v>
      </c>
      <c r="Z16" s="69" t="s">
        <v>980</v>
      </c>
      <c r="AA16" s="78" t="s">
        <v>883</v>
      </c>
    </row>
    <row r="17" spans="1:27" ht="30.45" customHeight="1">
      <c r="A17" s="136"/>
      <c r="B17" s="41" t="s">
        <v>346</v>
      </c>
      <c r="C17" s="41"/>
      <c r="D17" s="41"/>
      <c r="E17" s="41"/>
      <c r="F17" s="3" t="s">
        <v>947</v>
      </c>
      <c r="G17" s="3" t="s">
        <v>666</v>
      </c>
      <c r="H17" s="3" t="s">
        <v>929</v>
      </c>
      <c r="I17" s="3" t="s">
        <v>929</v>
      </c>
      <c r="J17" s="3" t="s">
        <v>981</v>
      </c>
      <c r="K17" s="3" t="s">
        <v>929</v>
      </c>
      <c r="L17" s="3" t="s">
        <v>982</v>
      </c>
      <c r="M17" s="3" t="s">
        <v>644</v>
      </c>
      <c r="N17" s="3" t="s">
        <v>644</v>
      </c>
      <c r="O17" s="3" t="s">
        <v>983</v>
      </c>
      <c r="P17" s="3" t="s">
        <v>984</v>
      </c>
      <c r="Q17" s="3" t="s">
        <v>985</v>
      </c>
      <c r="R17" s="3" t="s">
        <v>986</v>
      </c>
      <c r="S17" s="3" t="s">
        <v>694</v>
      </c>
      <c r="T17" s="7" t="s">
        <v>987</v>
      </c>
      <c r="W17" s="74">
        <v>4</v>
      </c>
      <c r="X17" s="76" t="s">
        <v>316</v>
      </c>
      <c r="Y17" s="69" t="s">
        <v>988</v>
      </c>
      <c r="Z17" s="69" t="s">
        <v>989</v>
      </c>
      <c r="AA17" s="78" t="s">
        <v>884</v>
      </c>
    </row>
    <row r="18" spans="1:27" ht="30.45" customHeight="1">
      <c r="A18" s="136"/>
      <c r="B18" s="41" t="s">
        <v>302</v>
      </c>
      <c r="C18" s="41"/>
      <c r="D18" s="41"/>
      <c r="E18" s="41"/>
      <c r="F18" s="3" t="s">
        <v>956</v>
      </c>
      <c r="G18" s="3" t="s">
        <v>970</v>
      </c>
      <c r="H18" s="3" t="s">
        <v>980</v>
      </c>
      <c r="I18" s="3" t="s">
        <v>989</v>
      </c>
      <c r="J18" s="3" t="s">
        <v>990</v>
      </c>
      <c r="K18" s="3" t="s">
        <v>991</v>
      </c>
      <c r="L18" s="3" t="s">
        <v>992</v>
      </c>
      <c r="M18" s="3" t="s">
        <v>993</v>
      </c>
      <c r="N18" s="3" t="s">
        <v>994</v>
      </c>
      <c r="O18" s="3" t="s">
        <v>995</v>
      </c>
      <c r="P18" s="3" t="s">
        <v>996</v>
      </c>
      <c r="Q18" s="3" t="s">
        <v>997</v>
      </c>
      <c r="R18" s="3" t="s">
        <v>998</v>
      </c>
      <c r="S18" s="3" t="s">
        <v>999</v>
      </c>
      <c r="T18" s="7" t="s">
        <v>1000</v>
      </c>
      <c r="W18" s="74">
        <v>5</v>
      </c>
      <c r="X18" s="76" t="s">
        <v>316</v>
      </c>
      <c r="Y18" s="69" t="s">
        <v>1001</v>
      </c>
      <c r="Z18" s="69" t="s">
        <v>990</v>
      </c>
      <c r="AA18" s="78" t="s">
        <v>885</v>
      </c>
    </row>
    <row r="19" spans="1:27" ht="30.45" customHeight="1">
      <c r="A19" s="136"/>
      <c r="B19" s="41" t="s">
        <v>369</v>
      </c>
      <c r="C19" s="41"/>
      <c r="D19" s="41"/>
      <c r="E19" s="41"/>
      <c r="F19" s="3"/>
      <c r="G19" s="3"/>
      <c r="H19" s="3"/>
      <c r="I19" s="3"/>
      <c r="J19" s="3"/>
      <c r="K19" s="3"/>
      <c r="L19" s="3" t="s">
        <v>1002</v>
      </c>
      <c r="M19" s="3"/>
      <c r="N19" s="3"/>
      <c r="O19" s="3"/>
      <c r="P19" s="3"/>
      <c r="Q19" s="3"/>
      <c r="R19" s="3"/>
      <c r="S19" s="3"/>
      <c r="T19" s="7" t="s">
        <v>1003</v>
      </c>
      <c r="W19" s="74">
        <v>6</v>
      </c>
      <c r="X19" s="76" t="s">
        <v>316</v>
      </c>
      <c r="Y19" s="69" t="s">
        <v>1004</v>
      </c>
      <c r="Z19" s="69" t="s">
        <v>991</v>
      </c>
      <c r="AA19" s="78" t="s">
        <v>886</v>
      </c>
    </row>
    <row r="20" spans="1:27" ht="30.45" customHeight="1">
      <c r="A20" s="136"/>
      <c r="B20" s="41" t="s">
        <v>378</v>
      </c>
      <c r="C20" s="41"/>
      <c r="D20" s="41"/>
      <c r="E20" s="41"/>
      <c r="F20" s="3" t="s">
        <v>1005</v>
      </c>
      <c r="G20" s="3" t="s">
        <v>1006</v>
      </c>
      <c r="H20" s="3" t="s">
        <v>1007</v>
      </c>
      <c r="I20" s="3" t="s">
        <v>1008</v>
      </c>
      <c r="J20" s="3" t="s">
        <v>1009</v>
      </c>
      <c r="K20" s="3" t="s">
        <v>1010</v>
      </c>
      <c r="L20" s="3" t="s">
        <v>1011</v>
      </c>
      <c r="M20" s="3" t="s">
        <v>1012</v>
      </c>
      <c r="N20" s="3" t="s">
        <v>1013</v>
      </c>
      <c r="O20" s="3" t="s">
        <v>1014</v>
      </c>
      <c r="P20" s="3" t="s">
        <v>1015</v>
      </c>
      <c r="Q20" s="3" t="s">
        <v>1016</v>
      </c>
      <c r="R20" s="3" t="s">
        <v>1017</v>
      </c>
      <c r="S20" s="3" t="s">
        <v>1018</v>
      </c>
      <c r="T20" s="7" t="s">
        <v>1019</v>
      </c>
      <c r="W20" s="74">
        <v>7</v>
      </c>
      <c r="X20" s="76" t="s">
        <v>332</v>
      </c>
      <c r="Y20" s="69" t="s">
        <v>1020</v>
      </c>
      <c r="Z20" s="69" t="s">
        <v>992</v>
      </c>
      <c r="AA20" s="78" t="s">
        <v>887</v>
      </c>
    </row>
    <row r="21" spans="1:27" ht="30.45" customHeight="1">
      <c r="A21" s="136" t="s">
        <v>392</v>
      </c>
      <c r="B21" s="41" t="s">
        <v>393</v>
      </c>
      <c r="C21" s="41"/>
      <c r="D21" s="41"/>
      <c r="E21" s="41"/>
      <c r="F21" s="48" t="s">
        <v>184</v>
      </c>
      <c r="G21" s="48" t="s">
        <v>184</v>
      </c>
      <c r="H21" s="48" t="s">
        <v>184</v>
      </c>
      <c r="I21" s="48" t="s">
        <v>184</v>
      </c>
      <c r="J21" s="48" t="s">
        <v>184</v>
      </c>
      <c r="K21" s="48" t="s">
        <v>184</v>
      </c>
      <c r="L21" s="48" t="s">
        <v>185</v>
      </c>
      <c r="M21" s="48" t="s">
        <v>184</v>
      </c>
      <c r="N21" s="48" t="s">
        <v>184</v>
      </c>
      <c r="O21" s="48" t="s">
        <v>184</v>
      </c>
      <c r="P21" s="48" t="s">
        <v>184</v>
      </c>
      <c r="Q21" s="48" t="s">
        <v>184</v>
      </c>
      <c r="R21" s="48" t="s">
        <v>184</v>
      </c>
      <c r="S21" s="48" t="s">
        <v>184</v>
      </c>
      <c r="T21" s="49" t="s">
        <v>185</v>
      </c>
      <c r="W21" s="74">
        <v>8</v>
      </c>
      <c r="X21" s="76" t="s">
        <v>316</v>
      </c>
      <c r="Y21" s="69" t="s">
        <v>1021</v>
      </c>
      <c r="Z21" s="69" t="s">
        <v>993</v>
      </c>
      <c r="AA21" s="78" t="s">
        <v>888</v>
      </c>
    </row>
    <row r="22" spans="1:27" ht="19.2" customHeight="1">
      <c r="A22" s="136"/>
      <c r="B22" s="83" t="s">
        <v>395</v>
      </c>
      <c r="C22" s="84"/>
      <c r="D22" s="84"/>
      <c r="E22" s="85"/>
      <c r="F22" s="86"/>
      <c r="G22" s="87"/>
      <c r="H22" s="87"/>
      <c r="I22" s="87"/>
      <c r="J22" s="87"/>
      <c r="K22" s="87"/>
      <c r="L22" s="87"/>
      <c r="M22" s="87"/>
      <c r="N22" s="87"/>
      <c r="O22" s="87"/>
      <c r="P22" s="87"/>
      <c r="Q22" s="87"/>
      <c r="R22" s="87"/>
      <c r="S22" s="87"/>
      <c r="T22" s="88"/>
      <c r="W22" s="74">
        <v>9</v>
      </c>
      <c r="X22" s="76" t="s">
        <v>316</v>
      </c>
      <c r="Y22" s="69" t="s">
        <v>1022</v>
      </c>
      <c r="Z22" s="69" t="s">
        <v>994</v>
      </c>
      <c r="AA22" s="78" t="s">
        <v>889</v>
      </c>
    </row>
    <row r="23" spans="1:27" ht="30.45" customHeight="1">
      <c r="A23" s="136"/>
      <c r="B23" s="41" t="s">
        <v>397</v>
      </c>
      <c r="C23" s="41"/>
      <c r="D23" s="41"/>
      <c r="E23" s="41"/>
      <c r="F23" s="50"/>
      <c r="G23" s="50"/>
      <c r="H23" s="50"/>
      <c r="I23" s="50"/>
      <c r="J23" s="50"/>
      <c r="K23" s="50"/>
      <c r="L23" s="50"/>
      <c r="M23" s="50"/>
      <c r="N23" s="50"/>
      <c r="O23" s="50"/>
      <c r="P23" s="50"/>
      <c r="Q23" s="50"/>
      <c r="R23" s="50"/>
      <c r="S23" s="50"/>
      <c r="T23" s="51"/>
      <c r="W23" s="74">
        <v>10</v>
      </c>
      <c r="X23" s="76" t="s">
        <v>316</v>
      </c>
      <c r="Y23" s="69" t="s">
        <v>1023</v>
      </c>
      <c r="Z23" s="69" t="s">
        <v>995</v>
      </c>
      <c r="AA23" s="78" t="s">
        <v>890</v>
      </c>
    </row>
    <row r="24" spans="1:27" ht="30.45" customHeight="1">
      <c r="A24" s="137"/>
      <c r="B24" s="45" t="s">
        <v>399</v>
      </c>
      <c r="C24" s="45"/>
      <c r="D24" s="45"/>
      <c r="E24" s="45"/>
      <c r="F24" s="46"/>
      <c r="G24" s="46"/>
      <c r="H24" s="46"/>
      <c r="I24" s="46"/>
      <c r="J24" s="46"/>
      <c r="K24" s="46"/>
      <c r="L24" s="46"/>
      <c r="M24" s="46"/>
      <c r="N24" s="46"/>
      <c r="O24" s="46"/>
      <c r="P24" s="46"/>
      <c r="Q24" s="46"/>
      <c r="R24" s="46"/>
      <c r="S24" s="46"/>
      <c r="T24" s="47"/>
      <c r="W24" s="74">
        <v>11</v>
      </c>
      <c r="X24" s="76" t="s">
        <v>316</v>
      </c>
      <c r="Y24" s="69" t="s">
        <v>1024</v>
      </c>
      <c r="Z24" s="69" t="s">
        <v>996</v>
      </c>
      <c r="AA24" s="78" t="s">
        <v>891</v>
      </c>
    </row>
    <row r="25" spans="1:27" ht="30.45" customHeight="1">
      <c r="W25" s="74">
        <v>12</v>
      </c>
      <c r="X25" s="76" t="s">
        <v>316</v>
      </c>
      <c r="Y25" s="69" t="s">
        <v>1025</v>
      </c>
      <c r="Z25" s="69" t="s">
        <v>997</v>
      </c>
      <c r="AA25" s="78" t="s">
        <v>892</v>
      </c>
    </row>
    <row r="26" spans="1:27" ht="30.45" customHeight="1">
      <c r="W26" s="74">
        <v>13</v>
      </c>
      <c r="X26" s="76" t="s">
        <v>316</v>
      </c>
      <c r="Y26" s="69" t="s">
        <v>1026</v>
      </c>
      <c r="Z26" s="69" t="s">
        <v>998</v>
      </c>
      <c r="AA26" s="78" t="s">
        <v>893</v>
      </c>
    </row>
    <row r="27" spans="1:27" ht="30.45" customHeight="1">
      <c r="W27" s="74">
        <v>14</v>
      </c>
      <c r="X27" s="76" t="s">
        <v>316</v>
      </c>
      <c r="Y27" s="69" t="s">
        <v>1027</v>
      </c>
      <c r="Z27" s="69" t="s">
        <v>999</v>
      </c>
      <c r="AA27" s="78" t="s">
        <v>894</v>
      </c>
    </row>
    <row r="28" spans="1:27" ht="30.45" customHeight="1">
      <c r="W28" s="75">
        <v>15</v>
      </c>
      <c r="X28" s="77" t="s">
        <v>332</v>
      </c>
      <c r="Y28" s="72" t="s">
        <v>1028</v>
      </c>
      <c r="Z28" s="72" t="s">
        <v>1000</v>
      </c>
      <c r="AA28" s="79" t="s">
        <v>895</v>
      </c>
    </row>
  </sheetData>
  <mergeCells count="34">
    <mergeCell ref="A21:A24"/>
    <mergeCell ref="W2:AA2"/>
    <mergeCell ref="W9:AA9"/>
    <mergeCell ref="W12:AA12"/>
    <mergeCell ref="K7:L7"/>
    <mergeCell ref="M7:N7"/>
    <mergeCell ref="O7:T7"/>
    <mergeCell ref="A10:A13"/>
    <mergeCell ref="A14:A20"/>
    <mergeCell ref="A7:B7"/>
    <mergeCell ref="C7:D7"/>
    <mergeCell ref="E7:F7"/>
    <mergeCell ref="G7:H7"/>
    <mergeCell ref="I7:J7"/>
    <mergeCell ref="A4:B4"/>
    <mergeCell ref="C4:T4"/>
    <mergeCell ref="A5:B5"/>
    <mergeCell ref="C5:T5"/>
    <mergeCell ref="A6:B6"/>
    <mergeCell ref="C6:D6"/>
    <mergeCell ref="E6:F6"/>
    <mergeCell ref="G6:H6"/>
    <mergeCell ref="I6:J6"/>
    <mergeCell ref="K6:L6"/>
    <mergeCell ref="M6:N6"/>
    <mergeCell ref="O6:T6"/>
    <mergeCell ref="A2:B2"/>
    <mergeCell ref="C2:D2"/>
    <mergeCell ref="F2:G2"/>
    <mergeCell ref="H2:T2"/>
    <mergeCell ref="A3:B3"/>
    <mergeCell ref="C3:D3"/>
    <mergeCell ref="F3:G3"/>
    <mergeCell ref="H3:T3"/>
  </mergeCells>
  <conditionalFormatting sqref="F22:T22">
    <cfRule type="expression" dxfId="38" priority="1">
      <formula>F22="Passed"</formula>
    </cfRule>
    <cfRule type="expression" dxfId="37" priority="2">
      <formula>F22="Failed"</formula>
    </cfRule>
    <cfRule type="expression" dxfId="36" priority="3">
      <formula>F22="Blocked"</formula>
    </cfRule>
  </conditionalFormatting>
  <dataValidations count="1">
    <dataValidation type="list" sqref="F22:T22" xr:uid="{00000000-0002-0000-0800-000000000000}">
      <formula1>"Passed,Failed,Blocked"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28"/>
  <sheetViews>
    <sheetView workbookViewId="0"/>
  </sheetViews>
  <sheetFormatPr defaultRowHeight="13.8"/>
  <cols>
    <col min="1" max="1" width="15" customWidth="1"/>
    <col min="2" max="5" width="16" customWidth="1"/>
    <col min="6" max="20" width="20" customWidth="1"/>
    <col min="23" max="24" width="20" customWidth="1"/>
    <col min="25" max="26" width="38" customWidth="1"/>
    <col min="27" max="27" width="16" customWidth="1"/>
  </cols>
  <sheetData>
    <row r="1" spans="1:27">
      <c r="A1" s="1"/>
      <c r="B1" s="1"/>
      <c r="C1" s="1"/>
      <c r="D1" s="1"/>
      <c r="E1" s="1"/>
      <c r="F1" s="1"/>
      <c r="G1" s="1"/>
      <c r="H1" s="1"/>
      <c r="I1" s="1"/>
      <c r="J1" s="1"/>
      <c r="K1" s="1"/>
      <c r="L1" s="1"/>
      <c r="M1" s="1"/>
      <c r="N1" s="1"/>
      <c r="O1" s="1"/>
      <c r="P1" s="1"/>
      <c r="Q1" s="1"/>
      <c r="R1" s="1"/>
      <c r="S1" s="1"/>
      <c r="T1" s="1"/>
    </row>
    <row r="2" spans="1:27" ht="22.35" customHeight="1">
      <c r="A2" s="122" t="s">
        <v>199</v>
      </c>
      <c r="B2" s="123"/>
      <c r="C2" s="124" t="s">
        <v>101</v>
      </c>
      <c r="D2" s="124"/>
      <c r="E2" s="18"/>
      <c r="F2" s="123" t="s">
        <v>63</v>
      </c>
      <c r="G2" s="123"/>
      <c r="H2" s="124" t="s">
        <v>100</v>
      </c>
      <c r="I2" s="124"/>
      <c r="J2" s="124"/>
      <c r="K2" s="124"/>
      <c r="L2" s="124"/>
      <c r="M2" s="124"/>
      <c r="N2" s="124"/>
      <c r="O2" s="124"/>
      <c r="P2" s="124"/>
      <c r="Q2" s="124"/>
      <c r="R2" s="124"/>
      <c r="S2" s="124"/>
      <c r="T2" s="125"/>
      <c r="W2" s="138" t="s">
        <v>200</v>
      </c>
      <c r="X2" s="138"/>
      <c r="Y2" s="138"/>
      <c r="Z2" s="138"/>
      <c r="AA2" s="138"/>
    </row>
    <row r="3" spans="1:27" ht="22.35" customHeight="1">
      <c r="A3" s="126" t="s">
        <v>201</v>
      </c>
      <c r="B3" s="127"/>
      <c r="C3" s="128" t="s">
        <v>37</v>
      </c>
      <c r="D3" s="128"/>
      <c r="E3" s="1"/>
      <c r="F3" s="127" t="s">
        <v>202</v>
      </c>
      <c r="G3" s="127"/>
      <c r="H3" s="128"/>
      <c r="I3" s="128"/>
      <c r="J3" s="128"/>
      <c r="K3" s="128"/>
      <c r="L3" s="128"/>
      <c r="M3" s="128"/>
      <c r="N3" s="128"/>
      <c r="O3" s="128"/>
      <c r="P3" s="128"/>
      <c r="Q3" s="128"/>
      <c r="R3" s="128"/>
      <c r="S3" s="128"/>
      <c r="T3" s="129"/>
      <c r="W3" s="65" t="s">
        <v>203</v>
      </c>
      <c r="X3" s="66" t="s">
        <v>204</v>
      </c>
      <c r="Y3" s="66" t="s">
        <v>205</v>
      </c>
      <c r="Z3" s="66" t="s">
        <v>206</v>
      </c>
      <c r="AA3" s="67" t="s">
        <v>207</v>
      </c>
    </row>
    <row r="4" spans="1:27" ht="30.45" customHeight="1">
      <c r="A4" s="126" t="s">
        <v>208</v>
      </c>
      <c r="B4" s="127"/>
      <c r="C4" s="128" t="s">
        <v>1029</v>
      </c>
      <c r="D4" s="128"/>
      <c r="E4" s="128"/>
      <c r="F4" s="128"/>
      <c r="G4" s="128"/>
      <c r="H4" s="128"/>
      <c r="I4" s="128"/>
      <c r="J4" s="128"/>
      <c r="K4" s="128"/>
      <c r="L4" s="128"/>
      <c r="M4" s="128"/>
      <c r="N4" s="128"/>
      <c r="O4" s="128"/>
      <c r="P4" s="128"/>
      <c r="Q4" s="128"/>
      <c r="R4" s="128"/>
      <c r="S4" s="128"/>
      <c r="T4" s="129"/>
      <c r="W4" s="68" t="s">
        <v>1030</v>
      </c>
      <c r="X4" s="69" t="s">
        <v>1031</v>
      </c>
      <c r="Y4" s="69" t="s">
        <v>1032</v>
      </c>
      <c r="Z4" s="69" t="s">
        <v>1033</v>
      </c>
      <c r="AA4" s="70" t="s">
        <v>1034</v>
      </c>
    </row>
    <row r="5" spans="1:27" ht="30.45" customHeight="1">
      <c r="A5" s="126" t="s">
        <v>215</v>
      </c>
      <c r="B5" s="127"/>
      <c r="C5" s="128" t="s">
        <v>98</v>
      </c>
      <c r="D5" s="128"/>
      <c r="E5" s="128"/>
      <c r="F5" s="128"/>
      <c r="G5" s="128"/>
      <c r="H5" s="128"/>
      <c r="I5" s="128"/>
      <c r="J5" s="128"/>
      <c r="K5" s="128"/>
      <c r="L5" s="128"/>
      <c r="M5" s="128"/>
      <c r="N5" s="128"/>
      <c r="O5" s="128"/>
      <c r="P5" s="128"/>
      <c r="Q5" s="128"/>
      <c r="R5" s="128"/>
      <c r="S5" s="128"/>
      <c r="T5" s="129"/>
      <c r="W5" s="68" t="s">
        <v>1035</v>
      </c>
      <c r="X5" s="69" t="s">
        <v>1036</v>
      </c>
      <c r="Y5" s="69" t="s">
        <v>1037</v>
      </c>
      <c r="Z5" s="69" t="s">
        <v>1038</v>
      </c>
      <c r="AA5" s="70" t="s">
        <v>1039</v>
      </c>
    </row>
    <row r="6" spans="1:27" ht="30.45" customHeight="1">
      <c r="A6" s="130" t="s">
        <v>173</v>
      </c>
      <c r="B6" s="131"/>
      <c r="C6" s="131" t="s">
        <v>174</v>
      </c>
      <c r="D6" s="131"/>
      <c r="E6" s="131" t="s">
        <v>175</v>
      </c>
      <c r="F6" s="131"/>
      <c r="G6" s="131" t="s">
        <v>180</v>
      </c>
      <c r="H6" s="131"/>
      <c r="I6" s="131" t="s">
        <v>184</v>
      </c>
      <c r="J6" s="131"/>
      <c r="K6" s="131" t="s">
        <v>185</v>
      </c>
      <c r="L6" s="131"/>
      <c r="M6" s="131" t="s">
        <v>186</v>
      </c>
      <c r="N6" s="131"/>
      <c r="O6" s="131" t="s">
        <v>187</v>
      </c>
      <c r="P6" s="131"/>
      <c r="Q6" s="131"/>
      <c r="R6" s="131"/>
      <c r="S6" s="131"/>
      <c r="T6" s="132"/>
      <c r="W6" s="68" t="s">
        <v>1040</v>
      </c>
      <c r="X6" s="69" t="s">
        <v>1041</v>
      </c>
      <c r="Y6" s="69" t="s">
        <v>1042</v>
      </c>
      <c r="Z6" s="69" t="s">
        <v>1043</v>
      </c>
      <c r="AA6" s="70" t="s">
        <v>1044</v>
      </c>
    </row>
    <row r="7" spans="1:27" ht="30.45" customHeight="1">
      <c r="A7" s="133">
        <f>COUNTIF(F22:T22,"Passed")</f>
        <v>0</v>
      </c>
      <c r="B7" s="134"/>
      <c r="C7" s="134">
        <f>COUNTIF(F22:T22,"Failed")</f>
        <v>0</v>
      </c>
      <c r="D7" s="134"/>
      <c r="E7" s="134">
        <f>COUNTIF(F22:T22,"Blocked")</f>
        <v>0</v>
      </c>
      <c r="F7" s="134"/>
      <c r="G7" s="134">
        <f>15-A7-C7-E7</f>
        <v>15</v>
      </c>
      <c r="H7" s="134"/>
      <c r="I7" s="134">
        <f>COUNTIF(F21:T21,"N")</f>
        <v>5</v>
      </c>
      <c r="J7" s="134"/>
      <c r="K7" s="134">
        <f>COUNTIF(F21:T21,"A")</f>
        <v>7</v>
      </c>
      <c r="L7" s="134"/>
      <c r="M7" s="134">
        <f>COUNTIF(F21:T21,"B")</f>
        <v>3</v>
      </c>
      <c r="N7" s="134"/>
      <c r="O7" s="134">
        <v>15</v>
      </c>
      <c r="P7" s="134"/>
      <c r="Q7" s="134"/>
      <c r="R7" s="134"/>
      <c r="S7" s="134"/>
      <c r="T7" s="135"/>
      <c r="W7" s="68" t="s">
        <v>1045</v>
      </c>
      <c r="X7" s="69" t="s">
        <v>1046</v>
      </c>
      <c r="Y7" s="69" t="s">
        <v>1047</v>
      </c>
      <c r="Z7" s="69" t="s">
        <v>1048</v>
      </c>
      <c r="AA7" s="70" t="s">
        <v>1049</v>
      </c>
    </row>
    <row r="8" spans="1:27" ht="30.45" customHeight="1">
      <c r="A8" s="1"/>
      <c r="B8" s="1"/>
      <c r="C8" s="1"/>
      <c r="D8" s="1"/>
      <c r="E8" s="1"/>
      <c r="F8" s="1"/>
      <c r="G8" s="1"/>
      <c r="H8" s="1"/>
      <c r="I8" s="1"/>
      <c r="J8" s="1"/>
      <c r="K8" s="1"/>
      <c r="L8" s="1"/>
      <c r="M8" s="1"/>
      <c r="N8" s="1"/>
      <c r="O8" s="1"/>
      <c r="P8" s="1"/>
      <c r="Q8" s="1"/>
      <c r="R8" s="1"/>
      <c r="S8" s="1"/>
      <c r="T8" s="1"/>
      <c r="W8" s="71" t="s">
        <v>1050</v>
      </c>
      <c r="X8" s="72" t="s">
        <v>1051</v>
      </c>
      <c r="Y8" s="72" t="s">
        <v>1052</v>
      </c>
      <c r="Z8" s="72" t="s">
        <v>1053</v>
      </c>
      <c r="AA8" s="73" t="s">
        <v>1054</v>
      </c>
    </row>
    <row r="9" spans="1:27" ht="35.25" customHeight="1">
      <c r="A9" s="42"/>
      <c r="B9" s="43"/>
      <c r="C9" s="43"/>
      <c r="D9" s="43"/>
      <c r="E9" s="43"/>
      <c r="F9" s="43" t="s">
        <v>101</v>
      </c>
      <c r="G9" s="43" t="s">
        <v>1055</v>
      </c>
      <c r="H9" s="43" t="s">
        <v>1056</v>
      </c>
      <c r="I9" s="43" t="s">
        <v>1057</v>
      </c>
      <c r="J9" s="43" t="s">
        <v>1058</v>
      </c>
      <c r="K9" s="43" t="s">
        <v>1059</v>
      </c>
      <c r="L9" s="43" t="s">
        <v>1060</v>
      </c>
      <c r="M9" s="43" t="s">
        <v>1061</v>
      </c>
      <c r="N9" s="43" t="s">
        <v>1062</v>
      </c>
      <c r="O9" s="43" t="s">
        <v>1063</v>
      </c>
      <c r="P9" s="43" t="s">
        <v>1064</v>
      </c>
      <c r="Q9" s="43" t="s">
        <v>1065</v>
      </c>
      <c r="R9" s="43" t="s">
        <v>1066</v>
      </c>
      <c r="S9" s="43" t="s">
        <v>1067</v>
      </c>
      <c r="T9" s="44" t="s">
        <v>1068</v>
      </c>
      <c r="W9" s="139" t="s">
        <v>247</v>
      </c>
      <c r="X9" s="140"/>
      <c r="Y9" s="140"/>
      <c r="Z9" s="140"/>
      <c r="AA9" s="141"/>
    </row>
    <row r="10" spans="1:27" ht="38.4" customHeight="1">
      <c r="A10" s="136" t="s">
        <v>248</v>
      </c>
      <c r="B10" s="41" t="s">
        <v>249</v>
      </c>
      <c r="C10" s="41"/>
      <c r="D10" s="41"/>
      <c r="E10" s="41"/>
      <c r="F10" s="3" t="s">
        <v>1069</v>
      </c>
      <c r="G10" s="3" t="s">
        <v>1070</v>
      </c>
      <c r="H10" s="3" t="s">
        <v>1071</v>
      </c>
      <c r="I10" s="3" t="s">
        <v>1072</v>
      </c>
      <c r="J10" s="3" t="s">
        <v>1073</v>
      </c>
      <c r="K10" s="3" t="s">
        <v>1074</v>
      </c>
      <c r="L10" s="3" t="s">
        <v>1075</v>
      </c>
      <c r="M10" s="3" t="s">
        <v>1076</v>
      </c>
      <c r="N10" s="3" t="s">
        <v>1077</v>
      </c>
      <c r="O10" s="3" t="s">
        <v>1078</v>
      </c>
      <c r="P10" s="3" t="s">
        <v>1079</v>
      </c>
      <c r="Q10" s="3" t="s">
        <v>1080</v>
      </c>
      <c r="R10" s="3" t="s">
        <v>1081</v>
      </c>
      <c r="S10" s="3" t="s">
        <v>1082</v>
      </c>
      <c r="T10" s="7" t="s">
        <v>1083</v>
      </c>
    </row>
    <row r="11" spans="1:27" ht="35.25" customHeight="1">
      <c r="A11" s="136"/>
      <c r="B11" s="41" t="s">
        <v>261</v>
      </c>
      <c r="C11" s="41"/>
      <c r="D11" s="41"/>
      <c r="E11" s="41"/>
      <c r="F11" s="3" t="s">
        <v>1084</v>
      </c>
      <c r="G11" s="3" t="s">
        <v>1085</v>
      </c>
      <c r="H11" s="3" t="s">
        <v>1085</v>
      </c>
      <c r="I11" s="3" t="s">
        <v>1086</v>
      </c>
      <c r="J11" s="3" t="s">
        <v>1087</v>
      </c>
      <c r="K11" s="3" t="s">
        <v>1085</v>
      </c>
      <c r="L11" s="3" t="s">
        <v>1085</v>
      </c>
      <c r="M11" s="3" t="s">
        <v>1085</v>
      </c>
      <c r="N11" s="3" t="s">
        <v>1088</v>
      </c>
      <c r="O11" s="3" t="s">
        <v>1085</v>
      </c>
      <c r="P11" s="3" t="s">
        <v>1089</v>
      </c>
      <c r="Q11" s="3" t="s">
        <v>1089</v>
      </c>
      <c r="R11" s="3" t="s">
        <v>1090</v>
      </c>
      <c r="S11" s="3" t="s">
        <v>1091</v>
      </c>
      <c r="T11" s="7" t="s">
        <v>613</v>
      </c>
    </row>
    <row r="12" spans="1:27" ht="22.35" customHeight="1">
      <c r="A12" s="136"/>
      <c r="B12" s="41" t="s">
        <v>274</v>
      </c>
      <c r="C12" s="41"/>
      <c r="D12" s="41"/>
      <c r="E12" s="41"/>
      <c r="F12" s="3" t="s">
        <v>1092</v>
      </c>
      <c r="G12" s="3" t="s">
        <v>1093</v>
      </c>
      <c r="H12" s="3" t="s">
        <v>1094</v>
      </c>
      <c r="I12" s="3" t="s">
        <v>1095</v>
      </c>
      <c r="J12" s="3" t="s">
        <v>1096</v>
      </c>
      <c r="K12" s="3" t="s">
        <v>1097</v>
      </c>
      <c r="L12" s="3" t="s">
        <v>1098</v>
      </c>
      <c r="M12" s="3" t="s">
        <v>1099</v>
      </c>
      <c r="N12" s="3" t="s">
        <v>1038</v>
      </c>
      <c r="O12" s="3" t="s">
        <v>1039</v>
      </c>
      <c r="P12" s="3" t="s">
        <v>1100</v>
      </c>
      <c r="Q12" s="3" t="s">
        <v>1101</v>
      </c>
      <c r="R12" s="3" t="s">
        <v>1102</v>
      </c>
      <c r="S12" s="3" t="s">
        <v>1103</v>
      </c>
      <c r="T12" s="7" t="s">
        <v>1092</v>
      </c>
      <c r="W12" s="138" t="s">
        <v>287</v>
      </c>
      <c r="X12" s="138"/>
      <c r="Y12" s="138"/>
      <c r="Z12" s="138"/>
      <c r="AA12" s="138"/>
    </row>
    <row r="13" spans="1:27" ht="22.35" customHeight="1">
      <c r="A13" s="136"/>
      <c r="B13" s="41" t="s">
        <v>288</v>
      </c>
      <c r="C13" s="41"/>
      <c r="D13" s="41"/>
      <c r="E13" s="41"/>
      <c r="F13" s="3" t="s">
        <v>1104</v>
      </c>
      <c r="G13" s="3" t="s">
        <v>1105</v>
      </c>
      <c r="H13" s="3" t="s">
        <v>1105</v>
      </c>
      <c r="I13" s="3" t="s">
        <v>1106</v>
      </c>
      <c r="J13" s="3" t="s">
        <v>1107</v>
      </c>
      <c r="K13" s="3" t="s">
        <v>1108</v>
      </c>
      <c r="L13" s="3" t="s">
        <v>1109</v>
      </c>
      <c r="M13" s="3" t="s">
        <v>1110</v>
      </c>
      <c r="N13" s="3" t="s">
        <v>1111</v>
      </c>
      <c r="O13" s="3" t="s">
        <v>1111</v>
      </c>
      <c r="P13" s="3" t="s">
        <v>1105</v>
      </c>
      <c r="Q13" s="3" t="s">
        <v>1105</v>
      </c>
      <c r="R13" s="3" t="s">
        <v>1112</v>
      </c>
      <c r="S13" s="3" t="s">
        <v>681</v>
      </c>
      <c r="T13" s="7" t="s">
        <v>1113</v>
      </c>
      <c r="W13" s="65" t="s">
        <v>299</v>
      </c>
      <c r="X13" s="66" t="s">
        <v>300</v>
      </c>
      <c r="Y13" s="66" t="s">
        <v>301</v>
      </c>
      <c r="Z13" s="66" t="s">
        <v>302</v>
      </c>
      <c r="AA13" s="67" t="s">
        <v>303</v>
      </c>
    </row>
    <row r="14" spans="1:27" ht="30.45" customHeight="1">
      <c r="A14" s="136" t="s">
        <v>304</v>
      </c>
      <c r="B14" s="41" t="s">
        <v>305</v>
      </c>
      <c r="C14" s="41"/>
      <c r="D14" s="41"/>
      <c r="E14" s="41"/>
      <c r="F14" s="3" t="s">
        <v>1114</v>
      </c>
      <c r="G14" s="3" t="s">
        <v>1115</v>
      </c>
      <c r="H14" s="3" t="s">
        <v>1116</v>
      </c>
      <c r="I14" s="3" t="s">
        <v>971</v>
      </c>
      <c r="J14" s="3" t="s">
        <v>1117</v>
      </c>
      <c r="K14" s="3" t="s">
        <v>1110</v>
      </c>
      <c r="L14" s="3" t="s">
        <v>1110</v>
      </c>
      <c r="M14" s="3" t="s">
        <v>1118</v>
      </c>
      <c r="N14" s="3" t="s">
        <v>1119</v>
      </c>
      <c r="O14" s="3" t="s">
        <v>1110</v>
      </c>
      <c r="P14" s="3" t="s">
        <v>1120</v>
      </c>
      <c r="Q14" s="3" t="s">
        <v>1119</v>
      </c>
      <c r="R14" s="3" t="s">
        <v>1110</v>
      </c>
      <c r="S14" s="3" t="s">
        <v>1121</v>
      </c>
      <c r="T14" s="7" t="s">
        <v>650</v>
      </c>
      <c r="W14" s="74">
        <v>1</v>
      </c>
      <c r="X14" s="76" t="s">
        <v>316</v>
      </c>
      <c r="Y14" s="69" t="s">
        <v>1122</v>
      </c>
      <c r="Z14" s="69" t="s">
        <v>1123</v>
      </c>
      <c r="AA14" s="78" t="s">
        <v>101</v>
      </c>
    </row>
    <row r="15" spans="1:27" ht="30.45" customHeight="1">
      <c r="A15" s="136"/>
      <c r="B15" s="41" t="s">
        <v>319</v>
      </c>
      <c r="C15" s="41"/>
      <c r="D15" s="41"/>
      <c r="E15" s="41"/>
      <c r="F15" s="3" t="s">
        <v>1124</v>
      </c>
      <c r="G15" s="3" t="s">
        <v>1105</v>
      </c>
      <c r="H15" s="3" t="s">
        <v>1105</v>
      </c>
      <c r="I15" s="3" t="s">
        <v>1125</v>
      </c>
      <c r="J15" s="3" t="s">
        <v>1105</v>
      </c>
      <c r="K15" s="3" t="s">
        <v>1105</v>
      </c>
      <c r="L15" s="3" t="s">
        <v>1105</v>
      </c>
      <c r="M15" s="3" t="s">
        <v>327</v>
      </c>
      <c r="N15" s="3" t="s">
        <v>1105</v>
      </c>
      <c r="O15" s="3" t="s">
        <v>327</v>
      </c>
      <c r="P15" s="3" t="s">
        <v>1105</v>
      </c>
      <c r="Q15" s="3" t="s">
        <v>1105</v>
      </c>
      <c r="R15" s="3" t="s">
        <v>1105</v>
      </c>
      <c r="S15" s="3" t="s">
        <v>1126</v>
      </c>
      <c r="T15" s="7" t="s">
        <v>1127</v>
      </c>
      <c r="W15" s="74">
        <v>2</v>
      </c>
      <c r="X15" s="76" t="s">
        <v>316</v>
      </c>
      <c r="Y15" s="69" t="s">
        <v>1128</v>
      </c>
      <c r="Z15" s="69" t="s">
        <v>1129</v>
      </c>
      <c r="AA15" s="78" t="s">
        <v>1055</v>
      </c>
    </row>
    <row r="16" spans="1:27" ht="30.45" customHeight="1">
      <c r="A16" s="136"/>
      <c r="B16" s="41" t="s">
        <v>335</v>
      </c>
      <c r="C16" s="41"/>
      <c r="D16" s="41"/>
      <c r="E16" s="41"/>
      <c r="F16" s="3" t="s">
        <v>1105</v>
      </c>
      <c r="G16" s="3" t="s">
        <v>971</v>
      </c>
      <c r="H16" s="3" t="s">
        <v>1130</v>
      </c>
      <c r="I16" s="3" t="s">
        <v>1131</v>
      </c>
      <c r="J16" s="3" t="s">
        <v>681</v>
      </c>
      <c r="K16" s="3" t="s">
        <v>1132</v>
      </c>
      <c r="L16" s="3" t="s">
        <v>1130</v>
      </c>
      <c r="M16" s="3" t="s">
        <v>336</v>
      </c>
      <c r="N16" s="3" t="s">
        <v>1133</v>
      </c>
      <c r="O16" s="3" t="s">
        <v>524</v>
      </c>
      <c r="P16" s="3" t="s">
        <v>1134</v>
      </c>
      <c r="Q16" s="3" t="s">
        <v>1135</v>
      </c>
      <c r="R16" s="3" t="s">
        <v>929</v>
      </c>
      <c r="S16" s="3" t="s">
        <v>681</v>
      </c>
      <c r="T16" s="7" t="s">
        <v>1136</v>
      </c>
      <c r="W16" s="74">
        <v>3</v>
      </c>
      <c r="X16" s="76" t="s">
        <v>316</v>
      </c>
      <c r="Y16" s="69" t="s">
        <v>1137</v>
      </c>
      <c r="Z16" s="69" t="s">
        <v>1138</v>
      </c>
      <c r="AA16" s="78" t="s">
        <v>1056</v>
      </c>
    </row>
    <row r="17" spans="1:27" ht="30.45" customHeight="1">
      <c r="A17" s="136"/>
      <c r="B17" s="41" t="s">
        <v>346</v>
      </c>
      <c r="C17" s="41"/>
      <c r="D17" s="41"/>
      <c r="E17" s="41"/>
      <c r="F17" s="3" t="s">
        <v>971</v>
      </c>
      <c r="G17" s="3" t="s">
        <v>1139</v>
      </c>
      <c r="H17" s="3" t="s">
        <v>1140</v>
      </c>
      <c r="I17" s="3" t="s">
        <v>691</v>
      </c>
      <c r="J17" s="3" t="s">
        <v>1141</v>
      </c>
      <c r="K17" s="3" t="s">
        <v>1142</v>
      </c>
      <c r="L17" s="3" t="s">
        <v>1143</v>
      </c>
      <c r="M17" s="3" t="s">
        <v>1144</v>
      </c>
      <c r="N17" s="3" t="s">
        <v>1145</v>
      </c>
      <c r="O17" s="3" t="s">
        <v>1146</v>
      </c>
      <c r="P17" s="3" t="s">
        <v>1147</v>
      </c>
      <c r="Q17" s="3" t="s">
        <v>1142</v>
      </c>
      <c r="R17" s="3" t="s">
        <v>1148</v>
      </c>
      <c r="S17" s="3" t="s">
        <v>1149</v>
      </c>
      <c r="T17" s="7" t="s">
        <v>524</v>
      </c>
      <c r="W17" s="74">
        <v>4</v>
      </c>
      <c r="X17" s="76" t="s">
        <v>316</v>
      </c>
      <c r="Y17" s="69" t="s">
        <v>1150</v>
      </c>
      <c r="Z17" s="69" t="s">
        <v>1151</v>
      </c>
      <c r="AA17" s="78" t="s">
        <v>1057</v>
      </c>
    </row>
    <row r="18" spans="1:27" ht="30.45" customHeight="1">
      <c r="A18" s="136"/>
      <c r="B18" s="41" t="s">
        <v>302</v>
      </c>
      <c r="C18" s="41"/>
      <c r="D18" s="41"/>
      <c r="E18" s="41"/>
      <c r="F18" s="3" t="s">
        <v>1123</v>
      </c>
      <c r="G18" s="3" t="s">
        <v>1129</v>
      </c>
      <c r="H18" s="3" t="s">
        <v>1138</v>
      </c>
      <c r="I18" s="3" t="s">
        <v>1151</v>
      </c>
      <c r="J18" s="3" t="s">
        <v>1152</v>
      </c>
      <c r="K18" s="3" t="s">
        <v>1153</v>
      </c>
      <c r="L18" s="3" t="s">
        <v>1154</v>
      </c>
      <c r="M18" s="3" t="s">
        <v>1155</v>
      </c>
      <c r="N18" s="3" t="s">
        <v>1156</v>
      </c>
      <c r="O18" s="3" t="s">
        <v>1157</v>
      </c>
      <c r="P18" s="3" t="s">
        <v>1158</v>
      </c>
      <c r="Q18" s="3" t="s">
        <v>1159</v>
      </c>
      <c r="R18" s="3" t="s">
        <v>1160</v>
      </c>
      <c r="S18" s="3" t="s">
        <v>1161</v>
      </c>
      <c r="T18" s="7" t="s">
        <v>1162</v>
      </c>
      <c r="W18" s="74">
        <v>5</v>
      </c>
      <c r="X18" s="76" t="s">
        <v>357</v>
      </c>
      <c r="Y18" s="69" t="s">
        <v>1163</v>
      </c>
      <c r="Z18" s="69" t="s">
        <v>1152</v>
      </c>
      <c r="AA18" s="78" t="s">
        <v>1058</v>
      </c>
    </row>
    <row r="19" spans="1:27" ht="30.45" customHeight="1">
      <c r="A19" s="136"/>
      <c r="B19" s="41" t="s">
        <v>369</v>
      </c>
      <c r="C19" s="41"/>
      <c r="D19" s="41"/>
      <c r="E19" s="41"/>
      <c r="F19" s="3"/>
      <c r="G19" s="3"/>
      <c r="H19" s="3"/>
      <c r="I19" s="3"/>
      <c r="J19" s="3"/>
      <c r="K19" s="3" t="s">
        <v>1164</v>
      </c>
      <c r="L19" s="3" t="s">
        <v>1165</v>
      </c>
      <c r="M19" s="3" t="s">
        <v>1166</v>
      </c>
      <c r="N19" s="3"/>
      <c r="O19" s="3" t="s">
        <v>1167</v>
      </c>
      <c r="P19" s="3" t="s">
        <v>1168</v>
      </c>
      <c r="Q19" s="3" t="s">
        <v>1169</v>
      </c>
      <c r="R19" s="3"/>
      <c r="S19" s="3" t="s">
        <v>1170</v>
      </c>
      <c r="T19" s="7" t="s">
        <v>541</v>
      </c>
      <c r="W19" s="74">
        <v>6</v>
      </c>
      <c r="X19" s="76" t="s">
        <v>332</v>
      </c>
      <c r="Y19" s="69" t="s">
        <v>1171</v>
      </c>
      <c r="Z19" s="69" t="s">
        <v>1153</v>
      </c>
      <c r="AA19" s="78" t="s">
        <v>1059</v>
      </c>
    </row>
    <row r="20" spans="1:27" ht="30.45" customHeight="1">
      <c r="A20" s="136"/>
      <c r="B20" s="41" t="s">
        <v>378</v>
      </c>
      <c r="C20" s="41"/>
      <c r="D20" s="41"/>
      <c r="E20" s="41"/>
      <c r="F20" s="3" t="s">
        <v>1172</v>
      </c>
      <c r="G20" s="3" t="s">
        <v>1173</v>
      </c>
      <c r="H20" s="3" t="s">
        <v>1174</v>
      </c>
      <c r="I20" s="3" t="s">
        <v>1175</v>
      </c>
      <c r="J20" s="3" t="s">
        <v>1176</v>
      </c>
      <c r="K20" s="3" t="s">
        <v>1177</v>
      </c>
      <c r="L20" s="3" t="s">
        <v>1178</v>
      </c>
      <c r="M20" s="3" t="s">
        <v>1179</v>
      </c>
      <c r="N20" s="3" t="s">
        <v>1180</v>
      </c>
      <c r="O20" s="3" t="s">
        <v>1179</v>
      </c>
      <c r="P20" s="3" t="s">
        <v>1181</v>
      </c>
      <c r="Q20" s="3" t="s">
        <v>1182</v>
      </c>
      <c r="R20" s="3" t="s">
        <v>1183</v>
      </c>
      <c r="S20" s="3" t="s">
        <v>1184</v>
      </c>
      <c r="T20" s="7" t="s">
        <v>1185</v>
      </c>
      <c r="W20" s="74">
        <v>7</v>
      </c>
      <c r="X20" s="76" t="s">
        <v>332</v>
      </c>
      <c r="Y20" s="69" t="s">
        <v>1186</v>
      </c>
      <c r="Z20" s="69" t="s">
        <v>1154</v>
      </c>
      <c r="AA20" s="78" t="s">
        <v>1060</v>
      </c>
    </row>
    <row r="21" spans="1:27" ht="30.45" customHeight="1">
      <c r="A21" s="136" t="s">
        <v>392</v>
      </c>
      <c r="B21" s="41" t="s">
        <v>393</v>
      </c>
      <c r="C21" s="41"/>
      <c r="D21" s="41"/>
      <c r="E21" s="41"/>
      <c r="F21" s="48" t="s">
        <v>184</v>
      </c>
      <c r="G21" s="48" t="s">
        <v>184</v>
      </c>
      <c r="H21" s="48" t="s">
        <v>184</v>
      </c>
      <c r="I21" s="48" t="s">
        <v>184</v>
      </c>
      <c r="J21" s="48" t="s">
        <v>186</v>
      </c>
      <c r="K21" s="48" t="s">
        <v>185</v>
      </c>
      <c r="L21" s="48" t="s">
        <v>185</v>
      </c>
      <c r="M21" s="48" t="s">
        <v>185</v>
      </c>
      <c r="N21" s="48" t="s">
        <v>186</v>
      </c>
      <c r="O21" s="48" t="s">
        <v>186</v>
      </c>
      <c r="P21" s="48" t="s">
        <v>185</v>
      </c>
      <c r="Q21" s="48" t="s">
        <v>185</v>
      </c>
      <c r="R21" s="48" t="s">
        <v>184</v>
      </c>
      <c r="S21" s="48" t="s">
        <v>185</v>
      </c>
      <c r="T21" s="49" t="s">
        <v>185</v>
      </c>
      <c r="W21" s="74">
        <v>8</v>
      </c>
      <c r="X21" s="76" t="s">
        <v>332</v>
      </c>
      <c r="Y21" s="69" t="s">
        <v>1187</v>
      </c>
      <c r="Z21" s="69" t="s">
        <v>1155</v>
      </c>
      <c r="AA21" s="78" t="s">
        <v>1061</v>
      </c>
    </row>
    <row r="22" spans="1:27" ht="19.2" customHeight="1">
      <c r="A22" s="136"/>
      <c r="B22" s="83" t="s">
        <v>395</v>
      </c>
      <c r="C22" s="84"/>
      <c r="D22" s="84"/>
      <c r="E22" s="85"/>
      <c r="F22" s="86"/>
      <c r="G22" s="87"/>
      <c r="H22" s="87"/>
      <c r="I22" s="87"/>
      <c r="J22" s="87"/>
      <c r="K22" s="87"/>
      <c r="L22" s="87"/>
      <c r="M22" s="87"/>
      <c r="N22" s="87"/>
      <c r="O22" s="87"/>
      <c r="P22" s="87"/>
      <c r="Q22" s="87"/>
      <c r="R22" s="87"/>
      <c r="S22" s="87"/>
      <c r="T22" s="88"/>
      <c r="W22" s="74">
        <v>9</v>
      </c>
      <c r="X22" s="76" t="s">
        <v>357</v>
      </c>
      <c r="Y22" s="69" t="s">
        <v>1188</v>
      </c>
      <c r="Z22" s="69" t="s">
        <v>1156</v>
      </c>
      <c r="AA22" s="78" t="s">
        <v>1062</v>
      </c>
    </row>
    <row r="23" spans="1:27" ht="30.45" customHeight="1">
      <c r="A23" s="136"/>
      <c r="B23" s="41" t="s">
        <v>397</v>
      </c>
      <c r="C23" s="41"/>
      <c r="D23" s="41"/>
      <c r="E23" s="41"/>
      <c r="F23" s="50"/>
      <c r="G23" s="50"/>
      <c r="H23" s="50"/>
      <c r="I23" s="50"/>
      <c r="J23" s="50"/>
      <c r="K23" s="50"/>
      <c r="L23" s="50"/>
      <c r="M23" s="50"/>
      <c r="N23" s="50"/>
      <c r="O23" s="50"/>
      <c r="P23" s="50"/>
      <c r="Q23" s="50"/>
      <c r="R23" s="50"/>
      <c r="S23" s="50"/>
      <c r="T23" s="51"/>
      <c r="W23" s="74">
        <v>10</v>
      </c>
      <c r="X23" s="76" t="s">
        <v>357</v>
      </c>
      <c r="Y23" s="69" t="s">
        <v>1189</v>
      </c>
      <c r="Z23" s="69" t="s">
        <v>1157</v>
      </c>
      <c r="AA23" s="78" t="s">
        <v>1063</v>
      </c>
    </row>
    <row r="24" spans="1:27" ht="30.45" customHeight="1">
      <c r="A24" s="137"/>
      <c r="B24" s="45" t="s">
        <v>399</v>
      </c>
      <c r="C24" s="45"/>
      <c r="D24" s="45"/>
      <c r="E24" s="45"/>
      <c r="F24" s="46"/>
      <c r="G24" s="46"/>
      <c r="H24" s="46"/>
      <c r="I24" s="46"/>
      <c r="J24" s="46"/>
      <c r="K24" s="46"/>
      <c r="L24" s="46"/>
      <c r="M24" s="46"/>
      <c r="N24" s="46"/>
      <c r="O24" s="46"/>
      <c r="P24" s="46"/>
      <c r="Q24" s="46"/>
      <c r="R24" s="46"/>
      <c r="S24" s="46"/>
      <c r="T24" s="47"/>
      <c r="W24" s="74">
        <v>11</v>
      </c>
      <c r="X24" s="76" t="s">
        <v>332</v>
      </c>
      <c r="Y24" s="69" t="s">
        <v>1190</v>
      </c>
      <c r="Z24" s="69" t="s">
        <v>1158</v>
      </c>
      <c r="AA24" s="78" t="s">
        <v>1064</v>
      </c>
    </row>
    <row r="25" spans="1:27" ht="30.45" customHeight="1">
      <c r="W25" s="74">
        <v>12</v>
      </c>
      <c r="X25" s="76" t="s">
        <v>332</v>
      </c>
      <c r="Y25" s="69" t="s">
        <v>1191</v>
      </c>
      <c r="Z25" s="69" t="s">
        <v>1159</v>
      </c>
      <c r="AA25" s="78" t="s">
        <v>1065</v>
      </c>
    </row>
    <row r="26" spans="1:27" ht="30.45" customHeight="1">
      <c r="W26" s="74">
        <v>13</v>
      </c>
      <c r="X26" s="76" t="s">
        <v>316</v>
      </c>
      <c r="Y26" s="69" t="s">
        <v>1192</v>
      </c>
      <c r="Z26" s="69" t="s">
        <v>1160</v>
      </c>
      <c r="AA26" s="78" t="s">
        <v>1066</v>
      </c>
    </row>
    <row r="27" spans="1:27" ht="30.45" customHeight="1">
      <c r="W27" s="74">
        <v>14</v>
      </c>
      <c r="X27" s="76" t="s">
        <v>332</v>
      </c>
      <c r="Y27" s="69" t="s">
        <v>1193</v>
      </c>
      <c r="Z27" s="69" t="s">
        <v>1161</v>
      </c>
      <c r="AA27" s="78" t="s">
        <v>1067</v>
      </c>
    </row>
    <row r="28" spans="1:27" ht="30.45" customHeight="1">
      <c r="W28" s="75">
        <v>15</v>
      </c>
      <c r="X28" s="77" t="s">
        <v>332</v>
      </c>
      <c r="Y28" s="72" t="s">
        <v>1194</v>
      </c>
      <c r="Z28" s="72" t="s">
        <v>1162</v>
      </c>
      <c r="AA28" s="79" t="s">
        <v>1068</v>
      </c>
    </row>
  </sheetData>
  <mergeCells count="34">
    <mergeCell ref="A21:A24"/>
    <mergeCell ref="W2:AA2"/>
    <mergeCell ref="W9:AA9"/>
    <mergeCell ref="W12:AA12"/>
    <mergeCell ref="K7:L7"/>
    <mergeCell ref="M7:N7"/>
    <mergeCell ref="O7:T7"/>
    <mergeCell ref="A10:A13"/>
    <mergeCell ref="A14:A20"/>
    <mergeCell ref="A7:B7"/>
    <mergeCell ref="C7:D7"/>
    <mergeCell ref="E7:F7"/>
    <mergeCell ref="G7:H7"/>
    <mergeCell ref="I7:J7"/>
    <mergeCell ref="A4:B4"/>
    <mergeCell ref="C4:T4"/>
    <mergeCell ref="A5:B5"/>
    <mergeCell ref="C5:T5"/>
    <mergeCell ref="A6:B6"/>
    <mergeCell ref="C6:D6"/>
    <mergeCell ref="E6:F6"/>
    <mergeCell ref="G6:H6"/>
    <mergeCell ref="I6:J6"/>
    <mergeCell ref="K6:L6"/>
    <mergeCell ref="M6:N6"/>
    <mergeCell ref="O6:T6"/>
    <mergeCell ref="A2:B2"/>
    <mergeCell ref="C2:D2"/>
    <mergeCell ref="F2:G2"/>
    <mergeCell ref="H2:T2"/>
    <mergeCell ref="A3:B3"/>
    <mergeCell ref="C3:D3"/>
    <mergeCell ref="F3:G3"/>
    <mergeCell ref="H3:T3"/>
  </mergeCells>
  <conditionalFormatting sqref="F22:T22">
    <cfRule type="expression" dxfId="35" priority="1">
      <formula>F22="Passed"</formula>
    </cfRule>
    <cfRule type="expression" dxfId="34" priority="2">
      <formula>F22="Failed"</formula>
    </cfRule>
    <cfRule type="expression" dxfId="33" priority="3">
      <formula>F22="Blocked"</formula>
    </cfRule>
  </conditionalFormatting>
  <dataValidations count="1">
    <dataValidation type="list" sqref="F22:T22" xr:uid="{00000000-0002-0000-0900-000000000000}">
      <formula1>"Passed,Failed,Blocked"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28"/>
  <sheetViews>
    <sheetView workbookViewId="0"/>
  </sheetViews>
  <sheetFormatPr defaultRowHeight="13.8"/>
  <cols>
    <col min="1" max="1" width="15" customWidth="1"/>
    <col min="2" max="5" width="16" customWidth="1"/>
    <col min="6" max="20" width="20" customWidth="1"/>
    <col min="23" max="24" width="20" customWidth="1"/>
    <col min="25" max="26" width="38" customWidth="1"/>
    <col min="27" max="27" width="16" customWidth="1"/>
  </cols>
  <sheetData>
    <row r="1" spans="1:27">
      <c r="A1" s="1"/>
      <c r="B1" s="1"/>
      <c r="C1" s="1"/>
      <c r="D1" s="1"/>
      <c r="E1" s="1"/>
      <c r="F1" s="1"/>
      <c r="G1" s="1"/>
      <c r="H1" s="1"/>
      <c r="I1" s="1"/>
      <c r="J1" s="1"/>
      <c r="K1" s="1"/>
      <c r="L1" s="1"/>
      <c r="M1" s="1"/>
      <c r="N1" s="1"/>
      <c r="O1" s="1"/>
      <c r="P1" s="1"/>
      <c r="Q1" s="1"/>
      <c r="R1" s="1"/>
      <c r="S1" s="1"/>
      <c r="T1" s="1"/>
    </row>
    <row r="2" spans="1:27" ht="22.35" customHeight="1">
      <c r="A2" s="122" t="s">
        <v>199</v>
      </c>
      <c r="B2" s="123"/>
      <c r="C2" s="124" t="s">
        <v>107</v>
      </c>
      <c r="D2" s="124"/>
      <c r="E2" s="18"/>
      <c r="F2" s="123" t="s">
        <v>63</v>
      </c>
      <c r="G2" s="123"/>
      <c r="H2" s="124" t="s">
        <v>106</v>
      </c>
      <c r="I2" s="124"/>
      <c r="J2" s="124"/>
      <c r="K2" s="124"/>
      <c r="L2" s="124"/>
      <c r="M2" s="124"/>
      <c r="N2" s="124"/>
      <c r="O2" s="124"/>
      <c r="P2" s="124"/>
      <c r="Q2" s="124"/>
      <c r="R2" s="124"/>
      <c r="S2" s="124"/>
      <c r="T2" s="125"/>
      <c r="W2" s="138" t="s">
        <v>200</v>
      </c>
      <c r="X2" s="138"/>
      <c r="Y2" s="138"/>
      <c r="Z2" s="138"/>
      <c r="AA2" s="138"/>
    </row>
    <row r="3" spans="1:27" ht="22.35" customHeight="1">
      <c r="A3" s="126" t="s">
        <v>201</v>
      </c>
      <c r="B3" s="127"/>
      <c r="C3" s="128" t="s">
        <v>37</v>
      </c>
      <c r="D3" s="128"/>
      <c r="E3" s="1"/>
      <c r="F3" s="127" t="s">
        <v>202</v>
      </c>
      <c r="G3" s="127"/>
      <c r="H3" s="128"/>
      <c r="I3" s="128"/>
      <c r="J3" s="128"/>
      <c r="K3" s="128"/>
      <c r="L3" s="128"/>
      <c r="M3" s="128"/>
      <c r="N3" s="128"/>
      <c r="O3" s="128"/>
      <c r="P3" s="128"/>
      <c r="Q3" s="128"/>
      <c r="R3" s="128"/>
      <c r="S3" s="128"/>
      <c r="T3" s="129"/>
      <c r="W3" s="65" t="s">
        <v>203</v>
      </c>
      <c r="X3" s="66" t="s">
        <v>204</v>
      </c>
      <c r="Y3" s="66" t="s">
        <v>205</v>
      </c>
      <c r="Z3" s="66" t="s">
        <v>206</v>
      </c>
      <c r="AA3" s="67" t="s">
        <v>207</v>
      </c>
    </row>
    <row r="4" spans="1:27" ht="30.45" customHeight="1">
      <c r="A4" s="126" t="s">
        <v>208</v>
      </c>
      <c r="B4" s="127"/>
      <c r="C4" s="128" t="s">
        <v>1195</v>
      </c>
      <c r="D4" s="128"/>
      <c r="E4" s="128"/>
      <c r="F4" s="128"/>
      <c r="G4" s="128"/>
      <c r="H4" s="128"/>
      <c r="I4" s="128"/>
      <c r="J4" s="128"/>
      <c r="K4" s="128"/>
      <c r="L4" s="128"/>
      <c r="M4" s="128"/>
      <c r="N4" s="128"/>
      <c r="O4" s="128"/>
      <c r="P4" s="128"/>
      <c r="Q4" s="128"/>
      <c r="R4" s="128"/>
      <c r="S4" s="128"/>
      <c r="T4" s="129"/>
      <c r="W4" s="68" t="s">
        <v>1196</v>
      </c>
      <c r="X4" s="69" t="s">
        <v>1197</v>
      </c>
      <c r="Y4" s="69" t="s">
        <v>1198</v>
      </c>
      <c r="Z4" s="69" t="s">
        <v>1199</v>
      </c>
      <c r="AA4" s="70" t="s">
        <v>1200</v>
      </c>
    </row>
    <row r="5" spans="1:27" ht="30.45" customHeight="1">
      <c r="A5" s="126" t="s">
        <v>215</v>
      </c>
      <c r="B5" s="127"/>
      <c r="C5" s="128" t="s">
        <v>104</v>
      </c>
      <c r="D5" s="128"/>
      <c r="E5" s="128"/>
      <c r="F5" s="128"/>
      <c r="G5" s="128"/>
      <c r="H5" s="128"/>
      <c r="I5" s="128"/>
      <c r="J5" s="128"/>
      <c r="K5" s="128"/>
      <c r="L5" s="128"/>
      <c r="M5" s="128"/>
      <c r="N5" s="128"/>
      <c r="O5" s="128"/>
      <c r="P5" s="128"/>
      <c r="Q5" s="128"/>
      <c r="R5" s="128"/>
      <c r="S5" s="128"/>
      <c r="T5" s="129"/>
      <c r="W5" s="68" t="s">
        <v>863</v>
      </c>
      <c r="X5" s="69" t="s">
        <v>864</v>
      </c>
      <c r="Y5" s="69" t="s">
        <v>1201</v>
      </c>
      <c r="Z5" s="69" t="s">
        <v>1202</v>
      </c>
      <c r="AA5" s="70" t="s">
        <v>1203</v>
      </c>
    </row>
    <row r="6" spans="1:27" ht="30.45" customHeight="1">
      <c r="A6" s="130" t="s">
        <v>173</v>
      </c>
      <c r="B6" s="131"/>
      <c r="C6" s="131" t="s">
        <v>174</v>
      </c>
      <c r="D6" s="131"/>
      <c r="E6" s="131" t="s">
        <v>175</v>
      </c>
      <c r="F6" s="131"/>
      <c r="G6" s="131" t="s">
        <v>180</v>
      </c>
      <c r="H6" s="131"/>
      <c r="I6" s="131" t="s">
        <v>184</v>
      </c>
      <c r="J6" s="131"/>
      <c r="K6" s="131" t="s">
        <v>185</v>
      </c>
      <c r="L6" s="131"/>
      <c r="M6" s="131" t="s">
        <v>186</v>
      </c>
      <c r="N6" s="131"/>
      <c r="O6" s="131" t="s">
        <v>187</v>
      </c>
      <c r="P6" s="131"/>
      <c r="Q6" s="131"/>
      <c r="R6" s="131"/>
      <c r="S6" s="131"/>
      <c r="T6" s="132"/>
      <c r="W6" s="68" t="s">
        <v>1204</v>
      </c>
      <c r="X6" s="69" t="s">
        <v>1205</v>
      </c>
      <c r="Y6" s="69" t="s">
        <v>1206</v>
      </c>
      <c r="Z6" s="69" t="s">
        <v>1207</v>
      </c>
      <c r="AA6" s="70" t="s">
        <v>1208</v>
      </c>
    </row>
    <row r="7" spans="1:27" ht="30.45" customHeight="1">
      <c r="A7" s="133">
        <f>COUNTIF(F22:T22,"Passed")</f>
        <v>0</v>
      </c>
      <c r="B7" s="134"/>
      <c r="C7" s="134">
        <f>COUNTIF(F22:T22,"Failed")</f>
        <v>0</v>
      </c>
      <c r="D7" s="134"/>
      <c r="E7" s="134">
        <f>COUNTIF(F22:T22,"Blocked")</f>
        <v>0</v>
      </c>
      <c r="F7" s="134"/>
      <c r="G7" s="134">
        <f>15-A7-C7-E7</f>
        <v>15</v>
      </c>
      <c r="H7" s="134"/>
      <c r="I7" s="134">
        <f>COUNTIF(F21:T21,"N")</f>
        <v>10</v>
      </c>
      <c r="J7" s="134"/>
      <c r="K7" s="134">
        <f>COUNTIF(F21:T21,"A")</f>
        <v>2</v>
      </c>
      <c r="L7" s="134"/>
      <c r="M7" s="134">
        <f>COUNTIF(F21:T21,"B")</f>
        <v>3</v>
      </c>
      <c r="N7" s="134"/>
      <c r="O7" s="134">
        <v>15</v>
      </c>
      <c r="P7" s="134"/>
      <c r="Q7" s="134"/>
      <c r="R7" s="134"/>
      <c r="S7" s="134"/>
      <c r="T7" s="135"/>
      <c r="W7" s="68" t="s">
        <v>1209</v>
      </c>
      <c r="X7" s="69" t="s">
        <v>1210</v>
      </c>
      <c r="Y7" s="69" t="s">
        <v>1211</v>
      </c>
      <c r="Z7" s="69" t="s">
        <v>1212</v>
      </c>
      <c r="AA7" s="70" t="s">
        <v>1213</v>
      </c>
    </row>
    <row r="8" spans="1:27" ht="30.45" customHeight="1">
      <c r="A8" s="1"/>
      <c r="B8" s="1"/>
      <c r="C8" s="1"/>
      <c r="D8" s="1"/>
      <c r="E8" s="1"/>
      <c r="F8" s="1"/>
      <c r="G8" s="1"/>
      <c r="H8" s="1"/>
      <c r="I8" s="1"/>
      <c r="J8" s="1"/>
      <c r="K8" s="1"/>
      <c r="L8" s="1"/>
      <c r="M8" s="1"/>
      <c r="N8" s="1"/>
      <c r="O8" s="1"/>
      <c r="P8" s="1"/>
      <c r="Q8" s="1"/>
      <c r="R8" s="1"/>
      <c r="S8" s="1"/>
      <c r="T8" s="1"/>
      <c r="W8" s="71" t="s">
        <v>1214</v>
      </c>
      <c r="X8" s="72" t="s">
        <v>1215</v>
      </c>
      <c r="Y8" s="72" t="s">
        <v>1216</v>
      </c>
      <c r="Z8" s="72" t="s">
        <v>1217</v>
      </c>
      <c r="AA8" s="73" t="s">
        <v>1218</v>
      </c>
    </row>
    <row r="9" spans="1:27" ht="35.25" customHeight="1">
      <c r="A9" s="42"/>
      <c r="B9" s="43"/>
      <c r="C9" s="43"/>
      <c r="D9" s="43"/>
      <c r="E9" s="43"/>
      <c r="F9" s="43" t="s">
        <v>107</v>
      </c>
      <c r="G9" s="43" t="s">
        <v>1219</v>
      </c>
      <c r="H9" s="43" t="s">
        <v>1220</v>
      </c>
      <c r="I9" s="43" t="s">
        <v>1221</v>
      </c>
      <c r="J9" s="43" t="s">
        <v>1222</v>
      </c>
      <c r="K9" s="43" t="s">
        <v>1223</v>
      </c>
      <c r="L9" s="43" t="s">
        <v>1224</v>
      </c>
      <c r="M9" s="43" t="s">
        <v>1225</v>
      </c>
      <c r="N9" s="43" t="s">
        <v>1226</v>
      </c>
      <c r="O9" s="43" t="s">
        <v>1227</v>
      </c>
      <c r="P9" s="43" t="s">
        <v>1228</v>
      </c>
      <c r="Q9" s="43" t="s">
        <v>1229</v>
      </c>
      <c r="R9" s="43" t="s">
        <v>1230</v>
      </c>
      <c r="S9" s="43" t="s">
        <v>1231</v>
      </c>
      <c r="T9" s="44" t="s">
        <v>1232</v>
      </c>
      <c r="W9" s="139" t="s">
        <v>247</v>
      </c>
      <c r="X9" s="140"/>
      <c r="Y9" s="140"/>
      <c r="Z9" s="140"/>
      <c r="AA9" s="141"/>
    </row>
    <row r="10" spans="1:27" ht="38.4" customHeight="1">
      <c r="A10" s="136" t="s">
        <v>248</v>
      </c>
      <c r="B10" s="41" t="s">
        <v>249</v>
      </c>
      <c r="C10" s="41"/>
      <c r="D10" s="41"/>
      <c r="E10" s="41"/>
      <c r="F10" s="3" t="s">
        <v>1233</v>
      </c>
      <c r="G10" s="3" t="s">
        <v>1234</v>
      </c>
      <c r="H10" s="3" t="s">
        <v>1235</v>
      </c>
      <c r="I10" s="3" t="s">
        <v>1236</v>
      </c>
      <c r="J10" s="3" t="s">
        <v>1237</v>
      </c>
      <c r="K10" s="3" t="s">
        <v>1238</v>
      </c>
      <c r="L10" s="3" t="s">
        <v>1239</v>
      </c>
      <c r="M10" s="3" t="s">
        <v>1240</v>
      </c>
      <c r="N10" s="3" t="s">
        <v>1241</v>
      </c>
      <c r="O10" s="3" t="s">
        <v>1242</v>
      </c>
      <c r="P10" s="3" t="s">
        <v>1243</v>
      </c>
      <c r="Q10" s="3" t="s">
        <v>1244</v>
      </c>
      <c r="R10" s="3" t="s">
        <v>1245</v>
      </c>
      <c r="S10" s="3" t="s">
        <v>1246</v>
      </c>
      <c r="T10" s="7" t="s">
        <v>1217</v>
      </c>
    </row>
    <row r="11" spans="1:27" ht="35.25" customHeight="1">
      <c r="A11" s="136"/>
      <c r="B11" s="41" t="s">
        <v>261</v>
      </c>
      <c r="C11" s="41"/>
      <c r="D11" s="41"/>
      <c r="E11" s="41"/>
      <c r="F11" s="3" t="s">
        <v>1247</v>
      </c>
      <c r="G11" s="3" t="s">
        <v>1248</v>
      </c>
      <c r="H11" s="3" t="s">
        <v>1249</v>
      </c>
      <c r="I11" s="3" t="s">
        <v>1249</v>
      </c>
      <c r="J11" s="3" t="s">
        <v>1249</v>
      </c>
      <c r="K11" s="3" t="s">
        <v>1250</v>
      </c>
      <c r="L11" s="3" t="s">
        <v>1251</v>
      </c>
      <c r="M11" s="3" t="s">
        <v>1252</v>
      </c>
      <c r="N11" s="3" t="s">
        <v>1253</v>
      </c>
      <c r="O11" s="3" t="s">
        <v>1254</v>
      </c>
      <c r="P11" s="3" t="s">
        <v>1255</v>
      </c>
      <c r="Q11" s="3" t="s">
        <v>1255</v>
      </c>
      <c r="R11" s="3" t="s">
        <v>1256</v>
      </c>
      <c r="S11" s="3" t="s">
        <v>1256</v>
      </c>
      <c r="T11" s="7" t="s">
        <v>1257</v>
      </c>
    </row>
    <row r="12" spans="1:27" ht="22.35" customHeight="1">
      <c r="A12" s="136"/>
      <c r="B12" s="41" t="s">
        <v>274</v>
      </c>
      <c r="C12" s="41"/>
      <c r="D12" s="41"/>
      <c r="E12" s="41"/>
      <c r="F12" s="3" t="s">
        <v>1258</v>
      </c>
      <c r="G12" s="3" t="s">
        <v>1259</v>
      </c>
      <c r="H12" s="3" t="s">
        <v>1260</v>
      </c>
      <c r="I12" s="3" t="s">
        <v>1261</v>
      </c>
      <c r="J12" s="3" t="s">
        <v>1262</v>
      </c>
      <c r="K12" s="3" t="s">
        <v>1263</v>
      </c>
      <c r="L12" s="3" t="s">
        <v>1239</v>
      </c>
      <c r="M12" s="3" t="s">
        <v>1264</v>
      </c>
      <c r="N12" s="3" t="s">
        <v>1265</v>
      </c>
      <c r="O12" s="3" t="s">
        <v>1266</v>
      </c>
      <c r="P12" s="3" t="s">
        <v>1267</v>
      </c>
      <c r="Q12" s="3" t="s">
        <v>1268</v>
      </c>
      <c r="R12" s="3" t="s">
        <v>1269</v>
      </c>
      <c r="S12" s="3" t="s">
        <v>1270</v>
      </c>
      <c r="T12" s="7" t="s">
        <v>1271</v>
      </c>
      <c r="W12" s="138" t="s">
        <v>287</v>
      </c>
      <c r="X12" s="138"/>
      <c r="Y12" s="138"/>
      <c r="Z12" s="138"/>
      <c r="AA12" s="138"/>
    </row>
    <row r="13" spans="1:27" ht="22.35" customHeight="1">
      <c r="A13" s="136"/>
      <c r="B13" s="41" t="s">
        <v>288</v>
      </c>
      <c r="C13" s="41"/>
      <c r="D13" s="41"/>
      <c r="E13" s="41"/>
      <c r="F13" s="3" t="s">
        <v>1271</v>
      </c>
      <c r="G13" s="3" t="s">
        <v>963</v>
      </c>
      <c r="H13" s="3" t="s">
        <v>1272</v>
      </c>
      <c r="I13" s="3" t="s">
        <v>1273</v>
      </c>
      <c r="J13" s="3" t="s">
        <v>1274</v>
      </c>
      <c r="K13" s="3" t="s">
        <v>1275</v>
      </c>
      <c r="L13" s="3" t="s">
        <v>292</v>
      </c>
      <c r="M13" s="3" t="s">
        <v>1276</v>
      </c>
      <c r="N13" s="3" t="s">
        <v>1277</v>
      </c>
      <c r="O13" s="3" t="s">
        <v>1278</v>
      </c>
      <c r="P13" s="3" t="s">
        <v>292</v>
      </c>
      <c r="Q13" s="3" t="s">
        <v>292</v>
      </c>
      <c r="R13" s="3" t="s">
        <v>1105</v>
      </c>
      <c r="S13" s="3" t="s">
        <v>1279</v>
      </c>
      <c r="T13" s="7" t="s">
        <v>1280</v>
      </c>
      <c r="W13" s="65" t="s">
        <v>299</v>
      </c>
      <c r="X13" s="66" t="s">
        <v>300</v>
      </c>
      <c r="Y13" s="66" t="s">
        <v>301</v>
      </c>
      <c r="Z13" s="66" t="s">
        <v>302</v>
      </c>
      <c r="AA13" s="67" t="s">
        <v>303</v>
      </c>
    </row>
    <row r="14" spans="1:27" ht="30.45" customHeight="1">
      <c r="A14" s="136" t="s">
        <v>304</v>
      </c>
      <c r="B14" s="41" t="s">
        <v>305</v>
      </c>
      <c r="C14" s="41"/>
      <c r="D14" s="41"/>
      <c r="E14" s="41"/>
      <c r="F14" s="3" t="s">
        <v>1113</v>
      </c>
      <c r="G14" s="3" t="s">
        <v>1281</v>
      </c>
      <c r="H14" s="3" t="s">
        <v>1113</v>
      </c>
      <c r="I14" s="3" t="s">
        <v>1113</v>
      </c>
      <c r="J14" s="3" t="s">
        <v>1113</v>
      </c>
      <c r="K14" s="3" t="s">
        <v>1113</v>
      </c>
      <c r="L14" s="3" t="s">
        <v>1113</v>
      </c>
      <c r="M14" s="3" t="s">
        <v>1113</v>
      </c>
      <c r="N14" s="3" t="s">
        <v>1113</v>
      </c>
      <c r="O14" s="3" t="s">
        <v>1282</v>
      </c>
      <c r="P14" s="3" t="s">
        <v>1283</v>
      </c>
      <c r="Q14" s="3" t="s">
        <v>1284</v>
      </c>
      <c r="R14" s="3" t="s">
        <v>1110</v>
      </c>
      <c r="S14" s="3" t="s">
        <v>1110</v>
      </c>
      <c r="T14" s="7" t="s">
        <v>1113</v>
      </c>
      <c r="W14" s="74">
        <v>1</v>
      </c>
      <c r="X14" s="76" t="s">
        <v>316</v>
      </c>
      <c r="Y14" s="69" t="s">
        <v>1285</v>
      </c>
      <c r="Z14" s="69" t="s">
        <v>1286</v>
      </c>
      <c r="AA14" s="78" t="s">
        <v>107</v>
      </c>
    </row>
    <row r="15" spans="1:27" ht="30.45" customHeight="1">
      <c r="A15" s="136"/>
      <c r="B15" s="41" t="s">
        <v>319</v>
      </c>
      <c r="C15" s="41"/>
      <c r="D15" s="41"/>
      <c r="E15" s="41"/>
      <c r="F15" s="3" t="s">
        <v>1287</v>
      </c>
      <c r="G15" s="3" t="s">
        <v>1288</v>
      </c>
      <c r="H15" s="3" t="s">
        <v>1289</v>
      </c>
      <c r="I15" s="3" t="s">
        <v>929</v>
      </c>
      <c r="J15" s="3" t="s">
        <v>929</v>
      </c>
      <c r="K15" s="3" t="s">
        <v>1290</v>
      </c>
      <c r="L15" s="3" t="s">
        <v>929</v>
      </c>
      <c r="M15" s="3" t="s">
        <v>1291</v>
      </c>
      <c r="N15" s="3" t="s">
        <v>1292</v>
      </c>
      <c r="O15" s="3" t="s">
        <v>1293</v>
      </c>
      <c r="P15" s="3" t="s">
        <v>1294</v>
      </c>
      <c r="Q15" s="3" t="s">
        <v>1294</v>
      </c>
      <c r="R15" s="3" t="s">
        <v>1105</v>
      </c>
      <c r="S15" s="3" t="s">
        <v>1105</v>
      </c>
      <c r="T15" s="7" t="s">
        <v>947</v>
      </c>
      <c r="W15" s="74">
        <v>2</v>
      </c>
      <c r="X15" s="76" t="s">
        <v>357</v>
      </c>
      <c r="Y15" s="69" t="s">
        <v>1295</v>
      </c>
      <c r="Z15" s="69" t="s">
        <v>1296</v>
      </c>
      <c r="AA15" s="78" t="s">
        <v>1219</v>
      </c>
    </row>
    <row r="16" spans="1:27" ht="30.45" customHeight="1">
      <c r="A16" s="136"/>
      <c r="B16" s="41" t="s">
        <v>335</v>
      </c>
      <c r="C16" s="41"/>
      <c r="D16" s="41"/>
      <c r="E16" s="41"/>
      <c r="F16" s="3" t="s">
        <v>947</v>
      </c>
      <c r="G16" s="3" t="s">
        <v>681</v>
      </c>
      <c r="H16" s="3" t="s">
        <v>1297</v>
      </c>
      <c r="I16" s="3" t="s">
        <v>1298</v>
      </c>
      <c r="J16" s="3" t="s">
        <v>1299</v>
      </c>
      <c r="K16" s="3" t="s">
        <v>1300</v>
      </c>
      <c r="L16" s="3" t="s">
        <v>1301</v>
      </c>
      <c r="M16" s="3" t="s">
        <v>1302</v>
      </c>
      <c r="N16" s="3" t="s">
        <v>1303</v>
      </c>
      <c r="O16" s="3" t="s">
        <v>1304</v>
      </c>
      <c r="P16" s="3" t="s">
        <v>1304</v>
      </c>
      <c r="Q16" s="3" t="s">
        <v>1304</v>
      </c>
      <c r="R16" s="3" t="s">
        <v>1134</v>
      </c>
      <c r="S16" s="3" t="s">
        <v>1305</v>
      </c>
      <c r="T16" s="7" t="s">
        <v>1306</v>
      </c>
      <c r="W16" s="74">
        <v>3</v>
      </c>
      <c r="X16" s="76" t="s">
        <v>316</v>
      </c>
      <c r="Y16" s="69" t="s">
        <v>1307</v>
      </c>
      <c r="Z16" s="69" t="s">
        <v>1308</v>
      </c>
      <c r="AA16" s="78" t="s">
        <v>1220</v>
      </c>
    </row>
    <row r="17" spans="1:27" ht="30.45" customHeight="1">
      <c r="A17" s="136"/>
      <c r="B17" s="41" t="s">
        <v>346</v>
      </c>
      <c r="C17" s="41"/>
      <c r="D17" s="41"/>
      <c r="E17" s="41"/>
      <c r="F17" s="3" t="s">
        <v>1309</v>
      </c>
      <c r="G17" s="3" t="s">
        <v>1310</v>
      </c>
      <c r="H17" s="3" t="s">
        <v>1311</v>
      </c>
      <c r="I17" s="3" t="s">
        <v>1312</v>
      </c>
      <c r="J17" s="3" t="s">
        <v>327</v>
      </c>
      <c r="K17" s="3" t="s">
        <v>327</v>
      </c>
      <c r="L17" s="3" t="s">
        <v>1313</v>
      </c>
      <c r="M17" s="3" t="s">
        <v>1314</v>
      </c>
      <c r="N17" s="3" t="s">
        <v>1315</v>
      </c>
      <c r="O17" s="3" t="s">
        <v>1303</v>
      </c>
      <c r="P17" s="3" t="s">
        <v>1316</v>
      </c>
      <c r="Q17" s="3" t="s">
        <v>1317</v>
      </c>
      <c r="R17" s="3" t="s">
        <v>1142</v>
      </c>
      <c r="S17" s="3" t="s">
        <v>1142</v>
      </c>
      <c r="T17" s="7" t="s">
        <v>327</v>
      </c>
      <c r="W17" s="74">
        <v>4</v>
      </c>
      <c r="X17" s="76" t="s">
        <v>316</v>
      </c>
      <c r="Y17" s="69" t="s">
        <v>1318</v>
      </c>
      <c r="Z17" s="69" t="s">
        <v>1319</v>
      </c>
      <c r="AA17" s="78" t="s">
        <v>1221</v>
      </c>
    </row>
    <row r="18" spans="1:27" ht="30.45" customHeight="1">
      <c r="A18" s="136"/>
      <c r="B18" s="41" t="s">
        <v>302</v>
      </c>
      <c r="C18" s="41"/>
      <c r="D18" s="41"/>
      <c r="E18" s="41"/>
      <c r="F18" s="3" t="s">
        <v>1286</v>
      </c>
      <c r="G18" s="3" t="s">
        <v>1296</v>
      </c>
      <c r="H18" s="3" t="s">
        <v>1308</v>
      </c>
      <c r="I18" s="3" t="s">
        <v>1319</v>
      </c>
      <c r="J18" s="3" t="s">
        <v>1320</v>
      </c>
      <c r="K18" s="3" t="s">
        <v>1321</v>
      </c>
      <c r="L18" s="3" t="s">
        <v>1322</v>
      </c>
      <c r="M18" s="3" t="s">
        <v>1323</v>
      </c>
      <c r="N18" s="3" t="s">
        <v>1324</v>
      </c>
      <c r="O18" s="3" t="s">
        <v>1325</v>
      </c>
      <c r="P18" s="3" t="s">
        <v>1326</v>
      </c>
      <c r="Q18" s="3" t="s">
        <v>1327</v>
      </c>
      <c r="R18" s="3" t="s">
        <v>1328</v>
      </c>
      <c r="S18" s="3" t="s">
        <v>1329</v>
      </c>
      <c r="T18" s="7" t="s">
        <v>1330</v>
      </c>
      <c r="W18" s="74">
        <v>5</v>
      </c>
      <c r="X18" s="76" t="s">
        <v>316</v>
      </c>
      <c r="Y18" s="69" t="s">
        <v>1331</v>
      </c>
      <c r="Z18" s="69" t="s">
        <v>1320</v>
      </c>
      <c r="AA18" s="78" t="s">
        <v>1222</v>
      </c>
    </row>
    <row r="19" spans="1:27" ht="30.45" customHeight="1">
      <c r="A19" s="136"/>
      <c r="B19" s="41" t="s">
        <v>369</v>
      </c>
      <c r="C19" s="41"/>
      <c r="D19" s="41"/>
      <c r="E19" s="41"/>
      <c r="F19" s="3"/>
      <c r="G19" s="3"/>
      <c r="H19" s="3"/>
      <c r="I19" s="3"/>
      <c r="J19" s="3"/>
      <c r="K19" s="3"/>
      <c r="L19" s="3"/>
      <c r="M19" s="3"/>
      <c r="N19" s="3"/>
      <c r="O19" s="3"/>
      <c r="P19" s="3"/>
      <c r="Q19" s="3"/>
      <c r="R19" s="3" t="s">
        <v>1168</v>
      </c>
      <c r="S19" s="3" t="s">
        <v>1332</v>
      </c>
      <c r="T19" s="7"/>
      <c r="W19" s="74">
        <v>6</v>
      </c>
      <c r="X19" s="76" t="s">
        <v>316</v>
      </c>
      <c r="Y19" s="69" t="s">
        <v>1333</v>
      </c>
      <c r="Z19" s="69" t="s">
        <v>1321</v>
      </c>
      <c r="AA19" s="78" t="s">
        <v>1223</v>
      </c>
    </row>
    <row r="20" spans="1:27" ht="30.45" customHeight="1">
      <c r="A20" s="136"/>
      <c r="B20" s="41" t="s">
        <v>378</v>
      </c>
      <c r="C20" s="41"/>
      <c r="D20" s="41"/>
      <c r="E20" s="41"/>
      <c r="F20" s="3" t="s">
        <v>1334</v>
      </c>
      <c r="G20" s="3" t="s">
        <v>1335</v>
      </c>
      <c r="H20" s="3" t="s">
        <v>1336</v>
      </c>
      <c r="I20" s="3" t="s">
        <v>1337</v>
      </c>
      <c r="J20" s="3" t="s">
        <v>1338</v>
      </c>
      <c r="K20" s="3" t="s">
        <v>1339</v>
      </c>
      <c r="L20" s="3" t="s">
        <v>1340</v>
      </c>
      <c r="M20" s="3" t="s">
        <v>1341</v>
      </c>
      <c r="N20" s="3" t="s">
        <v>1342</v>
      </c>
      <c r="O20" s="3" t="s">
        <v>1343</v>
      </c>
      <c r="P20" s="3" t="s">
        <v>1344</v>
      </c>
      <c r="Q20" s="3" t="s">
        <v>1345</v>
      </c>
      <c r="R20" s="3" t="s">
        <v>1346</v>
      </c>
      <c r="S20" s="3" t="s">
        <v>1347</v>
      </c>
      <c r="T20" s="7" t="s">
        <v>1348</v>
      </c>
      <c r="W20" s="74">
        <v>7</v>
      </c>
      <c r="X20" s="76" t="s">
        <v>316</v>
      </c>
      <c r="Y20" s="69" t="s">
        <v>1349</v>
      </c>
      <c r="Z20" s="69" t="s">
        <v>1322</v>
      </c>
      <c r="AA20" s="78" t="s">
        <v>1224</v>
      </c>
    </row>
    <row r="21" spans="1:27" ht="30.45" customHeight="1">
      <c r="A21" s="136" t="s">
        <v>392</v>
      </c>
      <c r="B21" s="41" t="s">
        <v>393</v>
      </c>
      <c r="C21" s="41"/>
      <c r="D21" s="41"/>
      <c r="E21" s="41"/>
      <c r="F21" s="48" t="s">
        <v>184</v>
      </c>
      <c r="G21" s="48" t="s">
        <v>186</v>
      </c>
      <c r="H21" s="48" t="s">
        <v>184</v>
      </c>
      <c r="I21" s="48" t="s">
        <v>184</v>
      </c>
      <c r="J21" s="48" t="s">
        <v>184</v>
      </c>
      <c r="K21" s="48" t="s">
        <v>184</v>
      </c>
      <c r="L21" s="48" t="s">
        <v>184</v>
      </c>
      <c r="M21" s="48" t="s">
        <v>184</v>
      </c>
      <c r="N21" s="48" t="s">
        <v>184</v>
      </c>
      <c r="O21" s="48" t="s">
        <v>184</v>
      </c>
      <c r="P21" s="48" t="s">
        <v>186</v>
      </c>
      <c r="Q21" s="48" t="s">
        <v>186</v>
      </c>
      <c r="R21" s="48" t="s">
        <v>185</v>
      </c>
      <c r="S21" s="48" t="s">
        <v>185</v>
      </c>
      <c r="T21" s="49" t="s">
        <v>184</v>
      </c>
      <c r="W21" s="74">
        <v>8</v>
      </c>
      <c r="X21" s="76" t="s">
        <v>316</v>
      </c>
      <c r="Y21" s="69" t="s">
        <v>1350</v>
      </c>
      <c r="Z21" s="69" t="s">
        <v>1323</v>
      </c>
      <c r="AA21" s="78" t="s">
        <v>1225</v>
      </c>
    </row>
    <row r="22" spans="1:27" ht="19.2" customHeight="1">
      <c r="A22" s="136"/>
      <c r="B22" s="83" t="s">
        <v>395</v>
      </c>
      <c r="C22" s="84"/>
      <c r="D22" s="84"/>
      <c r="E22" s="85"/>
      <c r="F22" s="86"/>
      <c r="G22" s="87"/>
      <c r="H22" s="87"/>
      <c r="I22" s="87"/>
      <c r="J22" s="87"/>
      <c r="K22" s="87"/>
      <c r="L22" s="87"/>
      <c r="M22" s="87"/>
      <c r="N22" s="87"/>
      <c r="O22" s="87"/>
      <c r="P22" s="87"/>
      <c r="Q22" s="87"/>
      <c r="R22" s="87"/>
      <c r="S22" s="87"/>
      <c r="T22" s="88"/>
      <c r="W22" s="74">
        <v>9</v>
      </c>
      <c r="X22" s="76" t="s">
        <v>316</v>
      </c>
      <c r="Y22" s="69" t="s">
        <v>1351</v>
      </c>
      <c r="Z22" s="69" t="s">
        <v>1324</v>
      </c>
      <c r="AA22" s="78" t="s">
        <v>1226</v>
      </c>
    </row>
    <row r="23" spans="1:27" ht="30.45" customHeight="1">
      <c r="A23" s="136"/>
      <c r="B23" s="41" t="s">
        <v>397</v>
      </c>
      <c r="C23" s="41"/>
      <c r="D23" s="41"/>
      <c r="E23" s="41"/>
      <c r="F23" s="50"/>
      <c r="G23" s="50"/>
      <c r="H23" s="50"/>
      <c r="I23" s="50"/>
      <c r="J23" s="50"/>
      <c r="K23" s="50"/>
      <c r="L23" s="50"/>
      <c r="M23" s="50"/>
      <c r="N23" s="50"/>
      <c r="O23" s="50"/>
      <c r="P23" s="50"/>
      <c r="Q23" s="50"/>
      <c r="R23" s="50"/>
      <c r="S23" s="50"/>
      <c r="T23" s="51"/>
      <c r="W23" s="74">
        <v>10</v>
      </c>
      <c r="X23" s="76" t="s">
        <v>316</v>
      </c>
      <c r="Y23" s="69" t="s">
        <v>1352</v>
      </c>
      <c r="Z23" s="69" t="s">
        <v>1325</v>
      </c>
      <c r="AA23" s="78" t="s">
        <v>1227</v>
      </c>
    </row>
    <row r="24" spans="1:27" ht="30.45" customHeight="1">
      <c r="A24" s="137"/>
      <c r="B24" s="45" t="s">
        <v>399</v>
      </c>
      <c r="C24" s="45"/>
      <c r="D24" s="45"/>
      <c r="E24" s="45"/>
      <c r="F24" s="46"/>
      <c r="G24" s="46"/>
      <c r="H24" s="46"/>
      <c r="I24" s="46"/>
      <c r="J24" s="46"/>
      <c r="K24" s="46"/>
      <c r="L24" s="46"/>
      <c r="M24" s="46"/>
      <c r="N24" s="46"/>
      <c r="O24" s="46"/>
      <c r="P24" s="46"/>
      <c r="Q24" s="46"/>
      <c r="R24" s="46"/>
      <c r="S24" s="46"/>
      <c r="T24" s="47"/>
      <c r="W24" s="74">
        <v>11</v>
      </c>
      <c r="X24" s="76" t="s">
        <v>357</v>
      </c>
      <c r="Y24" s="69" t="s">
        <v>1353</v>
      </c>
      <c r="Z24" s="69" t="s">
        <v>1326</v>
      </c>
      <c r="AA24" s="78" t="s">
        <v>1228</v>
      </c>
    </row>
    <row r="25" spans="1:27" ht="30.45" customHeight="1">
      <c r="W25" s="74">
        <v>12</v>
      </c>
      <c r="X25" s="76" t="s">
        <v>357</v>
      </c>
      <c r="Y25" s="69" t="s">
        <v>1354</v>
      </c>
      <c r="Z25" s="69" t="s">
        <v>1327</v>
      </c>
      <c r="AA25" s="78" t="s">
        <v>1229</v>
      </c>
    </row>
    <row r="26" spans="1:27" ht="30.45" customHeight="1">
      <c r="W26" s="74">
        <v>13</v>
      </c>
      <c r="X26" s="76" t="s">
        <v>332</v>
      </c>
      <c r="Y26" s="69" t="s">
        <v>1355</v>
      </c>
      <c r="Z26" s="69" t="s">
        <v>1328</v>
      </c>
      <c r="AA26" s="78" t="s">
        <v>1230</v>
      </c>
    </row>
    <row r="27" spans="1:27" ht="30.45" customHeight="1">
      <c r="W27" s="74">
        <v>14</v>
      </c>
      <c r="X27" s="76" t="s">
        <v>332</v>
      </c>
      <c r="Y27" s="69" t="s">
        <v>1356</v>
      </c>
      <c r="Z27" s="69" t="s">
        <v>1329</v>
      </c>
      <c r="AA27" s="78" t="s">
        <v>1231</v>
      </c>
    </row>
    <row r="28" spans="1:27" ht="30.45" customHeight="1">
      <c r="W28" s="75">
        <v>15</v>
      </c>
      <c r="X28" s="77" t="s">
        <v>316</v>
      </c>
      <c r="Y28" s="72" t="s">
        <v>1357</v>
      </c>
      <c r="Z28" s="72" t="s">
        <v>1330</v>
      </c>
      <c r="AA28" s="79" t="s">
        <v>1232</v>
      </c>
    </row>
  </sheetData>
  <mergeCells count="34">
    <mergeCell ref="A21:A24"/>
    <mergeCell ref="W2:AA2"/>
    <mergeCell ref="W9:AA9"/>
    <mergeCell ref="W12:AA12"/>
    <mergeCell ref="K7:L7"/>
    <mergeCell ref="M7:N7"/>
    <mergeCell ref="O7:T7"/>
    <mergeCell ref="A10:A13"/>
    <mergeCell ref="A14:A20"/>
    <mergeCell ref="A7:B7"/>
    <mergeCell ref="C7:D7"/>
    <mergeCell ref="E7:F7"/>
    <mergeCell ref="G7:H7"/>
    <mergeCell ref="I7:J7"/>
    <mergeCell ref="A4:B4"/>
    <mergeCell ref="C4:T4"/>
    <mergeCell ref="A5:B5"/>
    <mergeCell ref="C5:T5"/>
    <mergeCell ref="A6:B6"/>
    <mergeCell ref="C6:D6"/>
    <mergeCell ref="E6:F6"/>
    <mergeCell ref="G6:H6"/>
    <mergeCell ref="I6:J6"/>
    <mergeCell ref="K6:L6"/>
    <mergeCell ref="M6:N6"/>
    <mergeCell ref="O6:T6"/>
    <mergeCell ref="A2:B2"/>
    <mergeCell ref="C2:D2"/>
    <mergeCell ref="F2:G2"/>
    <mergeCell ref="H2:T2"/>
    <mergeCell ref="A3:B3"/>
    <mergeCell ref="C3:D3"/>
    <mergeCell ref="F3:G3"/>
    <mergeCell ref="H3:T3"/>
  </mergeCells>
  <conditionalFormatting sqref="F22:T22">
    <cfRule type="expression" dxfId="32" priority="1">
      <formula>F22="Passed"</formula>
    </cfRule>
    <cfRule type="expression" dxfId="31" priority="2">
      <formula>F22="Failed"</formula>
    </cfRule>
    <cfRule type="expression" dxfId="30" priority="3">
      <formula>F22="Blocked"</formula>
    </cfRule>
  </conditionalFormatting>
  <dataValidations count="1">
    <dataValidation type="list" sqref="F22:T22" xr:uid="{00000000-0002-0000-0A00-000000000000}">
      <formula1>"Passed,Failed,Blocked"</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28"/>
  <sheetViews>
    <sheetView workbookViewId="0"/>
  </sheetViews>
  <sheetFormatPr defaultRowHeight="13.8"/>
  <cols>
    <col min="1" max="1" width="15" customWidth="1"/>
    <col min="2" max="5" width="16" customWidth="1"/>
    <col min="6" max="20" width="20" customWidth="1"/>
    <col min="23" max="24" width="20" customWidth="1"/>
    <col min="25" max="26" width="38" customWidth="1"/>
    <col min="27" max="27" width="16" customWidth="1"/>
  </cols>
  <sheetData>
    <row r="1" spans="1:27">
      <c r="A1" s="1"/>
      <c r="B1" s="1"/>
      <c r="C1" s="1"/>
      <c r="D1" s="1"/>
      <c r="E1" s="1"/>
      <c r="F1" s="1"/>
      <c r="G1" s="1"/>
      <c r="H1" s="1"/>
      <c r="I1" s="1"/>
      <c r="J1" s="1"/>
      <c r="K1" s="1"/>
      <c r="L1" s="1"/>
      <c r="M1" s="1"/>
      <c r="N1" s="1"/>
      <c r="O1" s="1"/>
      <c r="P1" s="1"/>
      <c r="Q1" s="1"/>
      <c r="R1" s="1"/>
      <c r="S1" s="1"/>
      <c r="T1" s="1"/>
    </row>
    <row r="2" spans="1:27" ht="22.35" customHeight="1">
      <c r="A2" s="122" t="s">
        <v>199</v>
      </c>
      <c r="B2" s="123"/>
      <c r="C2" s="124" t="s">
        <v>113</v>
      </c>
      <c r="D2" s="124"/>
      <c r="E2" s="18"/>
      <c r="F2" s="123" t="s">
        <v>63</v>
      </c>
      <c r="G2" s="123"/>
      <c r="H2" s="124" t="s">
        <v>112</v>
      </c>
      <c r="I2" s="124"/>
      <c r="J2" s="124"/>
      <c r="K2" s="124"/>
      <c r="L2" s="124"/>
      <c r="M2" s="124"/>
      <c r="N2" s="124"/>
      <c r="O2" s="124"/>
      <c r="P2" s="124"/>
      <c r="Q2" s="124"/>
      <c r="R2" s="124"/>
      <c r="S2" s="124"/>
      <c r="T2" s="125"/>
      <c r="W2" s="138" t="s">
        <v>200</v>
      </c>
      <c r="X2" s="138"/>
      <c r="Y2" s="138"/>
      <c r="Z2" s="138"/>
      <c r="AA2" s="138"/>
    </row>
    <row r="3" spans="1:27" ht="22.35" customHeight="1">
      <c r="A3" s="126" t="s">
        <v>201</v>
      </c>
      <c r="B3" s="127"/>
      <c r="C3" s="128" t="s">
        <v>37</v>
      </c>
      <c r="D3" s="128"/>
      <c r="E3" s="1"/>
      <c r="F3" s="127" t="s">
        <v>202</v>
      </c>
      <c r="G3" s="127"/>
      <c r="H3" s="128"/>
      <c r="I3" s="128"/>
      <c r="J3" s="128"/>
      <c r="K3" s="128"/>
      <c r="L3" s="128"/>
      <c r="M3" s="128"/>
      <c r="N3" s="128"/>
      <c r="O3" s="128"/>
      <c r="P3" s="128"/>
      <c r="Q3" s="128"/>
      <c r="R3" s="128"/>
      <c r="S3" s="128"/>
      <c r="T3" s="129"/>
      <c r="W3" s="65" t="s">
        <v>203</v>
      </c>
      <c r="X3" s="66" t="s">
        <v>204</v>
      </c>
      <c r="Y3" s="66" t="s">
        <v>205</v>
      </c>
      <c r="Z3" s="66" t="s">
        <v>206</v>
      </c>
      <c r="AA3" s="67" t="s">
        <v>207</v>
      </c>
    </row>
    <row r="4" spans="1:27" ht="30.45" customHeight="1">
      <c r="A4" s="126" t="s">
        <v>208</v>
      </c>
      <c r="B4" s="127"/>
      <c r="C4" s="128" t="s">
        <v>1358</v>
      </c>
      <c r="D4" s="128"/>
      <c r="E4" s="128"/>
      <c r="F4" s="128"/>
      <c r="G4" s="128"/>
      <c r="H4" s="128"/>
      <c r="I4" s="128"/>
      <c r="J4" s="128"/>
      <c r="K4" s="128"/>
      <c r="L4" s="128"/>
      <c r="M4" s="128"/>
      <c r="N4" s="128"/>
      <c r="O4" s="128"/>
      <c r="P4" s="128"/>
      <c r="Q4" s="128"/>
      <c r="R4" s="128"/>
      <c r="S4" s="128"/>
      <c r="T4" s="129"/>
      <c r="W4" s="68" t="s">
        <v>1359</v>
      </c>
      <c r="X4" s="69" t="s">
        <v>1360</v>
      </c>
      <c r="Y4" s="69" t="s">
        <v>1361</v>
      </c>
      <c r="Z4" s="69" t="s">
        <v>1362</v>
      </c>
      <c r="AA4" s="70" t="s">
        <v>1363</v>
      </c>
    </row>
    <row r="5" spans="1:27" ht="30.45" customHeight="1">
      <c r="A5" s="126" t="s">
        <v>215</v>
      </c>
      <c r="B5" s="127"/>
      <c r="C5" s="128" t="s">
        <v>110</v>
      </c>
      <c r="D5" s="128"/>
      <c r="E5" s="128"/>
      <c r="F5" s="128"/>
      <c r="G5" s="128"/>
      <c r="H5" s="128"/>
      <c r="I5" s="128"/>
      <c r="J5" s="128"/>
      <c r="K5" s="128"/>
      <c r="L5" s="128"/>
      <c r="M5" s="128"/>
      <c r="N5" s="128"/>
      <c r="O5" s="128"/>
      <c r="P5" s="128"/>
      <c r="Q5" s="128"/>
      <c r="R5" s="128"/>
      <c r="S5" s="128"/>
      <c r="T5" s="129"/>
      <c r="W5" s="68" t="s">
        <v>858</v>
      </c>
      <c r="X5" s="69" t="s">
        <v>1364</v>
      </c>
      <c r="Y5" s="69" t="s">
        <v>860</v>
      </c>
      <c r="Z5" s="69" t="s">
        <v>1365</v>
      </c>
      <c r="AA5" s="70" t="s">
        <v>1366</v>
      </c>
    </row>
    <row r="6" spans="1:27" ht="30.45" customHeight="1">
      <c r="A6" s="130" t="s">
        <v>173</v>
      </c>
      <c r="B6" s="131"/>
      <c r="C6" s="131" t="s">
        <v>174</v>
      </c>
      <c r="D6" s="131"/>
      <c r="E6" s="131" t="s">
        <v>175</v>
      </c>
      <c r="F6" s="131"/>
      <c r="G6" s="131" t="s">
        <v>180</v>
      </c>
      <c r="H6" s="131"/>
      <c r="I6" s="131" t="s">
        <v>184</v>
      </c>
      <c r="J6" s="131"/>
      <c r="K6" s="131" t="s">
        <v>185</v>
      </c>
      <c r="L6" s="131"/>
      <c r="M6" s="131" t="s">
        <v>186</v>
      </c>
      <c r="N6" s="131"/>
      <c r="O6" s="131" t="s">
        <v>187</v>
      </c>
      <c r="P6" s="131"/>
      <c r="Q6" s="131"/>
      <c r="R6" s="131"/>
      <c r="S6" s="131"/>
      <c r="T6" s="132"/>
      <c r="W6" s="68" t="s">
        <v>924</v>
      </c>
      <c r="X6" s="69" t="s">
        <v>1367</v>
      </c>
      <c r="Y6" s="69" t="s">
        <v>1368</v>
      </c>
      <c r="Z6" s="69" t="s">
        <v>1369</v>
      </c>
      <c r="AA6" s="70" t="s">
        <v>1370</v>
      </c>
    </row>
    <row r="7" spans="1:27" ht="30.45" customHeight="1">
      <c r="A7" s="133">
        <f>COUNTIF(F22:T22,"Passed")</f>
        <v>0</v>
      </c>
      <c r="B7" s="134"/>
      <c r="C7" s="134">
        <f>COUNTIF(F22:T22,"Failed")</f>
        <v>0</v>
      </c>
      <c r="D7" s="134"/>
      <c r="E7" s="134">
        <f>COUNTIF(F22:T22,"Blocked")</f>
        <v>0</v>
      </c>
      <c r="F7" s="134"/>
      <c r="G7" s="134">
        <f>15-A7-C7-E7</f>
        <v>15</v>
      </c>
      <c r="H7" s="134"/>
      <c r="I7" s="134">
        <f>COUNTIF(F21:T21,"N")</f>
        <v>7</v>
      </c>
      <c r="J7" s="134"/>
      <c r="K7" s="134">
        <f>COUNTIF(F21:T21,"A")</f>
        <v>4</v>
      </c>
      <c r="L7" s="134"/>
      <c r="M7" s="134">
        <f>COUNTIF(F21:T21,"B")</f>
        <v>4</v>
      </c>
      <c r="N7" s="134"/>
      <c r="O7" s="134">
        <v>15</v>
      </c>
      <c r="P7" s="134"/>
      <c r="Q7" s="134"/>
      <c r="R7" s="134"/>
      <c r="S7" s="134"/>
      <c r="T7" s="135"/>
      <c r="W7" s="68" t="s">
        <v>1371</v>
      </c>
      <c r="X7" s="69" t="s">
        <v>1372</v>
      </c>
      <c r="Y7" s="69" t="s">
        <v>1373</v>
      </c>
      <c r="Z7" s="69" t="s">
        <v>1374</v>
      </c>
      <c r="AA7" s="70" t="s">
        <v>1375</v>
      </c>
    </row>
    <row r="8" spans="1:27" ht="30.45" customHeight="1">
      <c r="A8" s="1"/>
      <c r="B8" s="1"/>
      <c r="C8" s="1"/>
      <c r="D8" s="1"/>
      <c r="E8" s="1"/>
      <c r="F8" s="1"/>
      <c r="G8" s="1"/>
      <c r="H8" s="1"/>
      <c r="I8" s="1"/>
      <c r="J8" s="1"/>
      <c r="K8" s="1"/>
      <c r="L8" s="1"/>
      <c r="M8" s="1"/>
      <c r="N8" s="1"/>
      <c r="O8" s="1"/>
      <c r="P8" s="1"/>
      <c r="Q8" s="1"/>
      <c r="R8" s="1"/>
      <c r="S8" s="1"/>
      <c r="T8" s="1"/>
      <c r="W8" s="71" t="s">
        <v>327</v>
      </c>
      <c r="X8" s="72" t="s">
        <v>1376</v>
      </c>
      <c r="Y8" s="72" t="s">
        <v>1377</v>
      </c>
      <c r="Z8" s="72" t="s">
        <v>1378</v>
      </c>
      <c r="AA8" s="73" t="s">
        <v>1379</v>
      </c>
    </row>
    <row r="9" spans="1:27" ht="35.25" customHeight="1">
      <c r="A9" s="42"/>
      <c r="B9" s="43"/>
      <c r="C9" s="43"/>
      <c r="D9" s="43"/>
      <c r="E9" s="43"/>
      <c r="F9" s="43" t="s">
        <v>113</v>
      </c>
      <c r="G9" s="43" t="s">
        <v>1380</v>
      </c>
      <c r="H9" s="43" t="s">
        <v>1381</v>
      </c>
      <c r="I9" s="43" t="s">
        <v>1382</v>
      </c>
      <c r="J9" s="43" t="s">
        <v>1383</v>
      </c>
      <c r="K9" s="43" t="s">
        <v>1384</v>
      </c>
      <c r="L9" s="43" t="s">
        <v>1385</v>
      </c>
      <c r="M9" s="43" t="s">
        <v>1386</v>
      </c>
      <c r="N9" s="43" t="s">
        <v>1387</v>
      </c>
      <c r="O9" s="43" t="s">
        <v>1388</v>
      </c>
      <c r="P9" s="43" t="s">
        <v>1389</v>
      </c>
      <c r="Q9" s="43" t="s">
        <v>1390</v>
      </c>
      <c r="R9" s="43" t="s">
        <v>1391</v>
      </c>
      <c r="S9" s="43" t="s">
        <v>1392</v>
      </c>
      <c r="T9" s="44" t="s">
        <v>1393</v>
      </c>
      <c r="W9" s="139" t="s">
        <v>247</v>
      </c>
      <c r="X9" s="140"/>
      <c r="Y9" s="140"/>
      <c r="Z9" s="140"/>
      <c r="AA9" s="141"/>
    </row>
    <row r="10" spans="1:27" ht="38.4" customHeight="1">
      <c r="A10" s="136" t="s">
        <v>248</v>
      </c>
      <c r="B10" s="41" t="s">
        <v>249</v>
      </c>
      <c r="C10" s="41"/>
      <c r="D10" s="41"/>
      <c r="E10" s="41"/>
      <c r="F10" s="3" t="s">
        <v>1394</v>
      </c>
      <c r="G10" s="3" t="s">
        <v>1395</v>
      </c>
      <c r="H10" s="3" t="s">
        <v>1396</v>
      </c>
      <c r="I10" s="3" t="s">
        <v>1397</v>
      </c>
      <c r="J10" s="3" t="s">
        <v>1398</v>
      </c>
      <c r="K10" s="3" t="s">
        <v>1399</v>
      </c>
      <c r="L10" s="3" t="s">
        <v>1400</v>
      </c>
      <c r="M10" s="3" t="s">
        <v>1401</v>
      </c>
      <c r="N10" s="3" t="s">
        <v>1402</v>
      </c>
      <c r="O10" s="3" t="s">
        <v>1403</v>
      </c>
      <c r="P10" s="3" t="s">
        <v>1404</v>
      </c>
      <c r="Q10" s="3" t="s">
        <v>1405</v>
      </c>
      <c r="R10" s="3" t="s">
        <v>1406</v>
      </c>
      <c r="S10" s="3" t="s">
        <v>1407</v>
      </c>
      <c r="T10" s="7" t="s">
        <v>1408</v>
      </c>
    </row>
    <row r="11" spans="1:27" ht="35.25" customHeight="1">
      <c r="A11" s="136"/>
      <c r="B11" s="41" t="s">
        <v>261</v>
      </c>
      <c r="C11" s="41"/>
      <c r="D11" s="41"/>
      <c r="E11" s="41"/>
      <c r="F11" s="3" t="s">
        <v>1409</v>
      </c>
      <c r="G11" s="3" t="s">
        <v>1409</v>
      </c>
      <c r="H11" s="3" t="s">
        <v>1410</v>
      </c>
      <c r="I11" s="3" t="s">
        <v>1411</v>
      </c>
      <c r="J11" s="3" t="s">
        <v>1412</v>
      </c>
      <c r="K11" s="3" t="s">
        <v>1413</v>
      </c>
      <c r="L11" s="3" t="s">
        <v>1414</v>
      </c>
      <c r="M11" s="3" t="s">
        <v>1415</v>
      </c>
      <c r="N11" s="3" t="s">
        <v>1416</v>
      </c>
      <c r="O11" s="3" t="s">
        <v>1417</v>
      </c>
      <c r="P11" s="3" t="s">
        <v>1418</v>
      </c>
      <c r="Q11" s="3" t="s">
        <v>1419</v>
      </c>
      <c r="R11" s="3" t="s">
        <v>1420</v>
      </c>
      <c r="S11" s="3" t="s">
        <v>1421</v>
      </c>
      <c r="T11" s="7" t="s">
        <v>1422</v>
      </c>
    </row>
    <row r="12" spans="1:27" ht="22.35" customHeight="1">
      <c r="A12" s="136"/>
      <c r="B12" s="41" t="s">
        <v>274</v>
      </c>
      <c r="C12" s="41"/>
      <c r="D12" s="41"/>
      <c r="E12" s="41"/>
      <c r="F12" s="3" t="s">
        <v>1423</v>
      </c>
      <c r="G12" s="3" t="s">
        <v>1424</v>
      </c>
      <c r="H12" s="3" t="s">
        <v>860</v>
      </c>
      <c r="I12" s="3" t="s">
        <v>1425</v>
      </c>
      <c r="J12" s="3" t="s">
        <v>1426</v>
      </c>
      <c r="K12" s="3" t="s">
        <v>1427</v>
      </c>
      <c r="L12" s="3" t="s">
        <v>1428</v>
      </c>
      <c r="M12" s="3" t="s">
        <v>1429</v>
      </c>
      <c r="N12" s="3" t="s">
        <v>1430</v>
      </c>
      <c r="O12" s="3" t="s">
        <v>1431</v>
      </c>
      <c r="P12" s="3" t="s">
        <v>1432</v>
      </c>
      <c r="Q12" s="3" t="s">
        <v>1433</v>
      </c>
      <c r="R12" s="3" t="s">
        <v>644</v>
      </c>
      <c r="S12" s="3" t="s">
        <v>1434</v>
      </c>
      <c r="T12" s="7" t="s">
        <v>1435</v>
      </c>
      <c r="W12" s="138" t="s">
        <v>287</v>
      </c>
      <c r="X12" s="138"/>
      <c r="Y12" s="138"/>
      <c r="Z12" s="138"/>
      <c r="AA12" s="138"/>
    </row>
    <row r="13" spans="1:27" ht="22.35" customHeight="1">
      <c r="A13" s="136"/>
      <c r="B13" s="41" t="s">
        <v>288</v>
      </c>
      <c r="C13" s="41"/>
      <c r="D13" s="41"/>
      <c r="E13" s="41"/>
      <c r="F13" s="3" t="s">
        <v>292</v>
      </c>
      <c r="G13" s="3" t="s">
        <v>327</v>
      </c>
      <c r="H13" s="3" t="s">
        <v>1436</v>
      </c>
      <c r="I13" s="3" t="s">
        <v>292</v>
      </c>
      <c r="J13" s="3" t="s">
        <v>292</v>
      </c>
      <c r="K13" s="3" t="s">
        <v>292</v>
      </c>
      <c r="L13" s="3" t="s">
        <v>1437</v>
      </c>
      <c r="M13" s="3" t="s">
        <v>1438</v>
      </c>
      <c r="N13" s="3" t="s">
        <v>1439</v>
      </c>
      <c r="O13" s="3" t="s">
        <v>292</v>
      </c>
      <c r="P13" s="3" t="s">
        <v>292</v>
      </c>
      <c r="Q13" s="3" t="s">
        <v>327</v>
      </c>
      <c r="R13" s="3" t="s">
        <v>1440</v>
      </c>
      <c r="S13" s="3" t="s">
        <v>1441</v>
      </c>
      <c r="T13" s="7" t="s">
        <v>1442</v>
      </c>
      <c r="W13" s="65" t="s">
        <v>299</v>
      </c>
      <c r="X13" s="66" t="s">
        <v>300</v>
      </c>
      <c r="Y13" s="66" t="s">
        <v>301</v>
      </c>
      <c r="Z13" s="66" t="s">
        <v>302</v>
      </c>
      <c r="AA13" s="67" t="s">
        <v>303</v>
      </c>
    </row>
    <row r="14" spans="1:27" ht="30.45" customHeight="1">
      <c r="A14" s="136" t="s">
        <v>304</v>
      </c>
      <c r="B14" s="41" t="s">
        <v>305</v>
      </c>
      <c r="C14" s="41"/>
      <c r="D14" s="41"/>
      <c r="E14" s="41"/>
      <c r="F14" s="3" t="s">
        <v>1443</v>
      </c>
      <c r="G14" s="3" t="s">
        <v>1444</v>
      </c>
      <c r="H14" s="3" t="s">
        <v>1445</v>
      </c>
      <c r="I14" s="3" t="s">
        <v>1446</v>
      </c>
      <c r="J14" s="3" t="s">
        <v>1447</v>
      </c>
      <c r="K14" s="3" t="s">
        <v>1448</v>
      </c>
      <c r="L14" s="3" t="s">
        <v>1449</v>
      </c>
      <c r="M14" s="3" t="s">
        <v>1450</v>
      </c>
      <c r="N14" s="3" t="s">
        <v>1451</v>
      </c>
      <c r="O14" s="3" t="s">
        <v>1452</v>
      </c>
      <c r="P14" s="3" t="s">
        <v>485</v>
      </c>
      <c r="Q14" s="3" t="s">
        <v>1453</v>
      </c>
      <c r="R14" s="3" t="s">
        <v>1451</v>
      </c>
      <c r="S14" s="3" t="s">
        <v>1454</v>
      </c>
      <c r="T14" s="7" t="s">
        <v>1455</v>
      </c>
      <c r="W14" s="74">
        <v>1</v>
      </c>
      <c r="X14" s="76" t="s">
        <v>316</v>
      </c>
      <c r="Y14" s="69" t="s">
        <v>1456</v>
      </c>
      <c r="Z14" s="69" t="s">
        <v>1457</v>
      </c>
      <c r="AA14" s="78" t="s">
        <v>113</v>
      </c>
    </row>
    <row r="15" spans="1:27" ht="30.45" customHeight="1">
      <c r="A15" s="136"/>
      <c r="B15" s="41" t="s">
        <v>319</v>
      </c>
      <c r="C15" s="41"/>
      <c r="D15" s="41"/>
      <c r="E15" s="41"/>
      <c r="F15" s="3" t="s">
        <v>686</v>
      </c>
      <c r="G15" s="3" t="s">
        <v>1452</v>
      </c>
      <c r="H15" s="3" t="s">
        <v>1458</v>
      </c>
      <c r="I15" s="3" t="s">
        <v>1459</v>
      </c>
      <c r="J15" s="3" t="s">
        <v>1459</v>
      </c>
      <c r="K15" s="3" t="s">
        <v>327</v>
      </c>
      <c r="L15" s="3" t="s">
        <v>327</v>
      </c>
      <c r="M15" s="3" t="s">
        <v>1460</v>
      </c>
      <c r="N15" s="3" t="s">
        <v>1461</v>
      </c>
      <c r="O15" s="3" t="s">
        <v>1462</v>
      </c>
      <c r="P15" s="3" t="s">
        <v>524</v>
      </c>
      <c r="Q15" s="3" t="s">
        <v>1463</v>
      </c>
      <c r="R15" s="3" t="s">
        <v>644</v>
      </c>
      <c r="S15" s="3" t="s">
        <v>1464</v>
      </c>
      <c r="T15" s="7" t="s">
        <v>659</v>
      </c>
      <c r="W15" s="74">
        <v>2</v>
      </c>
      <c r="X15" s="76" t="s">
        <v>316</v>
      </c>
      <c r="Y15" s="69" t="s">
        <v>1465</v>
      </c>
      <c r="Z15" s="69" t="s">
        <v>1466</v>
      </c>
      <c r="AA15" s="78" t="s">
        <v>1380</v>
      </c>
    </row>
    <row r="16" spans="1:27" ht="30.45" customHeight="1">
      <c r="A16" s="136"/>
      <c r="B16" s="41" t="s">
        <v>335</v>
      </c>
      <c r="C16" s="41"/>
      <c r="D16" s="41"/>
      <c r="E16" s="41"/>
      <c r="F16" s="3" t="s">
        <v>1467</v>
      </c>
      <c r="G16" s="3" t="s">
        <v>1468</v>
      </c>
      <c r="H16" s="3" t="s">
        <v>982</v>
      </c>
      <c r="I16" s="3" t="s">
        <v>327</v>
      </c>
      <c r="J16" s="3" t="s">
        <v>327</v>
      </c>
      <c r="K16" s="3" t="s">
        <v>1469</v>
      </c>
      <c r="L16" s="3" t="s">
        <v>1470</v>
      </c>
      <c r="M16" s="3" t="s">
        <v>1471</v>
      </c>
      <c r="N16" s="3" t="s">
        <v>1472</v>
      </c>
      <c r="O16" s="3" t="s">
        <v>1473</v>
      </c>
      <c r="P16" s="3" t="s">
        <v>1474</v>
      </c>
      <c r="Q16" s="3" t="s">
        <v>524</v>
      </c>
      <c r="R16" s="3" t="s">
        <v>1475</v>
      </c>
      <c r="S16" s="3" t="s">
        <v>1476</v>
      </c>
      <c r="T16" s="7" t="s">
        <v>1477</v>
      </c>
      <c r="W16" s="74">
        <v>3</v>
      </c>
      <c r="X16" s="76" t="s">
        <v>332</v>
      </c>
      <c r="Y16" s="69" t="s">
        <v>1478</v>
      </c>
      <c r="Z16" s="69" t="s">
        <v>1479</v>
      </c>
      <c r="AA16" s="78" t="s">
        <v>1381</v>
      </c>
    </row>
    <row r="17" spans="1:27" ht="30.45" customHeight="1">
      <c r="A17" s="136"/>
      <c r="B17" s="41" t="s">
        <v>346</v>
      </c>
      <c r="C17" s="41"/>
      <c r="D17" s="41"/>
      <c r="E17" s="41"/>
      <c r="F17" s="3" t="s">
        <v>1480</v>
      </c>
      <c r="G17" s="3" t="s">
        <v>1481</v>
      </c>
      <c r="H17" s="3" t="s">
        <v>524</v>
      </c>
      <c r="I17" s="3" t="s">
        <v>1482</v>
      </c>
      <c r="J17" s="3" t="s">
        <v>1482</v>
      </c>
      <c r="K17" s="3" t="s">
        <v>1483</v>
      </c>
      <c r="L17" s="3" t="s">
        <v>1317</v>
      </c>
      <c r="M17" s="3" t="s">
        <v>1484</v>
      </c>
      <c r="N17" s="3" t="s">
        <v>1485</v>
      </c>
      <c r="O17" s="3" t="s">
        <v>1486</v>
      </c>
      <c r="P17" s="3" t="s">
        <v>1487</v>
      </c>
      <c r="Q17" s="3" t="s">
        <v>987</v>
      </c>
      <c r="R17" s="3" t="s">
        <v>1294</v>
      </c>
      <c r="S17" s="3" t="s">
        <v>1488</v>
      </c>
      <c r="T17" s="7" t="s">
        <v>1489</v>
      </c>
      <c r="W17" s="74">
        <v>4</v>
      </c>
      <c r="X17" s="76" t="s">
        <v>316</v>
      </c>
      <c r="Y17" s="69" t="s">
        <v>1490</v>
      </c>
      <c r="Z17" s="69" t="s">
        <v>1491</v>
      </c>
      <c r="AA17" s="78" t="s">
        <v>1382</v>
      </c>
    </row>
    <row r="18" spans="1:27" ht="30.45" customHeight="1">
      <c r="A18" s="136"/>
      <c r="B18" s="41" t="s">
        <v>302</v>
      </c>
      <c r="C18" s="41"/>
      <c r="D18" s="41"/>
      <c r="E18" s="41"/>
      <c r="F18" s="3" t="s">
        <v>1457</v>
      </c>
      <c r="G18" s="3" t="s">
        <v>1466</v>
      </c>
      <c r="H18" s="3" t="s">
        <v>1479</v>
      </c>
      <c r="I18" s="3" t="s">
        <v>1491</v>
      </c>
      <c r="J18" s="3" t="s">
        <v>1492</v>
      </c>
      <c r="K18" s="3" t="s">
        <v>1493</v>
      </c>
      <c r="L18" s="3" t="s">
        <v>1494</v>
      </c>
      <c r="M18" s="3" t="s">
        <v>1495</v>
      </c>
      <c r="N18" s="3" t="s">
        <v>1496</v>
      </c>
      <c r="O18" s="3" t="s">
        <v>1497</v>
      </c>
      <c r="P18" s="3" t="s">
        <v>1498</v>
      </c>
      <c r="Q18" s="3" t="s">
        <v>1499</v>
      </c>
      <c r="R18" s="3" t="s">
        <v>1500</v>
      </c>
      <c r="S18" s="3" t="s">
        <v>1501</v>
      </c>
      <c r="T18" s="7" t="s">
        <v>1502</v>
      </c>
      <c r="W18" s="74">
        <v>5</v>
      </c>
      <c r="X18" s="76" t="s">
        <v>316</v>
      </c>
      <c r="Y18" s="69" t="s">
        <v>1503</v>
      </c>
      <c r="Z18" s="69" t="s">
        <v>1492</v>
      </c>
      <c r="AA18" s="78" t="s">
        <v>1383</v>
      </c>
    </row>
    <row r="19" spans="1:27" ht="30.45" customHeight="1">
      <c r="A19" s="136"/>
      <c r="B19" s="41" t="s">
        <v>369</v>
      </c>
      <c r="C19" s="41"/>
      <c r="D19" s="41"/>
      <c r="E19" s="41"/>
      <c r="F19" s="3"/>
      <c r="G19" s="3"/>
      <c r="H19" s="3" t="s">
        <v>1504</v>
      </c>
      <c r="I19" s="3"/>
      <c r="J19" s="3"/>
      <c r="K19" s="3"/>
      <c r="L19" s="3"/>
      <c r="M19" s="3"/>
      <c r="N19" s="3"/>
      <c r="O19" s="3"/>
      <c r="P19" s="3" t="s">
        <v>1505</v>
      </c>
      <c r="Q19" s="3" t="s">
        <v>1506</v>
      </c>
      <c r="R19" s="3"/>
      <c r="S19" s="3"/>
      <c r="T19" s="7"/>
      <c r="W19" s="74">
        <v>6</v>
      </c>
      <c r="X19" s="76" t="s">
        <v>316</v>
      </c>
      <c r="Y19" s="69" t="s">
        <v>1507</v>
      </c>
      <c r="Z19" s="69" t="s">
        <v>1493</v>
      </c>
      <c r="AA19" s="78" t="s">
        <v>1384</v>
      </c>
    </row>
    <row r="20" spans="1:27" ht="30.45" customHeight="1">
      <c r="A20" s="136"/>
      <c r="B20" s="41" t="s">
        <v>378</v>
      </c>
      <c r="C20" s="41"/>
      <c r="D20" s="41"/>
      <c r="E20" s="41"/>
      <c r="F20" s="3" t="s">
        <v>1508</v>
      </c>
      <c r="G20" s="3" t="s">
        <v>1509</v>
      </c>
      <c r="H20" s="3" t="s">
        <v>1510</v>
      </c>
      <c r="I20" s="3" t="s">
        <v>1511</v>
      </c>
      <c r="J20" s="3" t="s">
        <v>1512</v>
      </c>
      <c r="K20" s="3" t="s">
        <v>1513</v>
      </c>
      <c r="L20" s="3" t="s">
        <v>1514</v>
      </c>
      <c r="M20" s="3" t="s">
        <v>1515</v>
      </c>
      <c r="N20" s="3" t="s">
        <v>1516</v>
      </c>
      <c r="O20" s="3" t="s">
        <v>1517</v>
      </c>
      <c r="P20" s="3" t="s">
        <v>1518</v>
      </c>
      <c r="Q20" s="3" t="s">
        <v>1519</v>
      </c>
      <c r="R20" s="3" t="s">
        <v>1520</v>
      </c>
      <c r="S20" s="3" t="s">
        <v>1521</v>
      </c>
      <c r="T20" s="7" t="s">
        <v>1522</v>
      </c>
      <c r="W20" s="74">
        <v>7</v>
      </c>
      <c r="X20" s="76" t="s">
        <v>357</v>
      </c>
      <c r="Y20" s="69" t="s">
        <v>1523</v>
      </c>
      <c r="Z20" s="69" t="s">
        <v>1494</v>
      </c>
      <c r="AA20" s="78" t="s">
        <v>1385</v>
      </c>
    </row>
    <row r="21" spans="1:27" ht="30.45" customHeight="1">
      <c r="A21" s="136" t="s">
        <v>392</v>
      </c>
      <c r="B21" s="41" t="s">
        <v>393</v>
      </c>
      <c r="C21" s="41"/>
      <c r="D21" s="41"/>
      <c r="E21" s="41"/>
      <c r="F21" s="48" t="s">
        <v>184</v>
      </c>
      <c r="G21" s="48" t="s">
        <v>184</v>
      </c>
      <c r="H21" s="48" t="s">
        <v>185</v>
      </c>
      <c r="I21" s="48" t="s">
        <v>184</v>
      </c>
      <c r="J21" s="48" t="s">
        <v>184</v>
      </c>
      <c r="K21" s="48" t="s">
        <v>184</v>
      </c>
      <c r="L21" s="48" t="s">
        <v>186</v>
      </c>
      <c r="M21" s="48" t="s">
        <v>184</v>
      </c>
      <c r="N21" s="48" t="s">
        <v>186</v>
      </c>
      <c r="O21" s="48" t="s">
        <v>186</v>
      </c>
      <c r="P21" s="48" t="s">
        <v>185</v>
      </c>
      <c r="Q21" s="48" t="s">
        <v>185</v>
      </c>
      <c r="R21" s="48" t="s">
        <v>186</v>
      </c>
      <c r="S21" s="48" t="s">
        <v>184</v>
      </c>
      <c r="T21" s="49" t="s">
        <v>185</v>
      </c>
      <c r="W21" s="74">
        <v>8</v>
      </c>
      <c r="X21" s="76" t="s">
        <v>316</v>
      </c>
      <c r="Y21" s="69" t="s">
        <v>1524</v>
      </c>
      <c r="Z21" s="69" t="s">
        <v>1495</v>
      </c>
      <c r="AA21" s="78" t="s">
        <v>1386</v>
      </c>
    </row>
    <row r="22" spans="1:27" ht="19.2" customHeight="1">
      <c r="A22" s="136"/>
      <c r="B22" s="83" t="s">
        <v>395</v>
      </c>
      <c r="C22" s="84"/>
      <c r="D22" s="84"/>
      <c r="E22" s="85"/>
      <c r="F22" s="86"/>
      <c r="G22" s="87"/>
      <c r="H22" s="87"/>
      <c r="I22" s="87"/>
      <c r="J22" s="87"/>
      <c r="K22" s="87"/>
      <c r="L22" s="87"/>
      <c r="M22" s="87"/>
      <c r="N22" s="87"/>
      <c r="O22" s="87"/>
      <c r="P22" s="87"/>
      <c r="Q22" s="87"/>
      <c r="R22" s="87"/>
      <c r="S22" s="87"/>
      <c r="T22" s="88"/>
      <c r="W22" s="74">
        <v>9</v>
      </c>
      <c r="X22" s="76" t="s">
        <v>357</v>
      </c>
      <c r="Y22" s="69" t="s">
        <v>1525</v>
      </c>
      <c r="Z22" s="69" t="s">
        <v>1496</v>
      </c>
      <c r="AA22" s="78" t="s">
        <v>1387</v>
      </c>
    </row>
    <row r="23" spans="1:27" ht="30.45" customHeight="1">
      <c r="A23" s="136"/>
      <c r="B23" s="41" t="s">
        <v>397</v>
      </c>
      <c r="C23" s="41"/>
      <c r="D23" s="41"/>
      <c r="E23" s="41"/>
      <c r="F23" s="50"/>
      <c r="G23" s="50"/>
      <c r="H23" s="50"/>
      <c r="I23" s="50"/>
      <c r="J23" s="50"/>
      <c r="K23" s="50"/>
      <c r="L23" s="50"/>
      <c r="M23" s="50"/>
      <c r="N23" s="50"/>
      <c r="O23" s="50"/>
      <c r="P23" s="50"/>
      <c r="Q23" s="50"/>
      <c r="R23" s="50"/>
      <c r="S23" s="50"/>
      <c r="T23" s="51"/>
      <c r="W23" s="74">
        <v>10</v>
      </c>
      <c r="X23" s="76" t="s">
        <v>357</v>
      </c>
      <c r="Y23" s="69" t="s">
        <v>1526</v>
      </c>
      <c r="Z23" s="69" t="s">
        <v>1497</v>
      </c>
      <c r="AA23" s="78" t="s">
        <v>1388</v>
      </c>
    </row>
    <row r="24" spans="1:27" ht="30.45" customHeight="1">
      <c r="A24" s="137"/>
      <c r="B24" s="45" t="s">
        <v>399</v>
      </c>
      <c r="C24" s="45"/>
      <c r="D24" s="45"/>
      <c r="E24" s="45"/>
      <c r="F24" s="46"/>
      <c r="G24" s="46"/>
      <c r="H24" s="46"/>
      <c r="I24" s="46"/>
      <c r="J24" s="46"/>
      <c r="K24" s="46"/>
      <c r="L24" s="46"/>
      <c r="M24" s="46"/>
      <c r="N24" s="46"/>
      <c r="O24" s="46"/>
      <c r="P24" s="46"/>
      <c r="Q24" s="46"/>
      <c r="R24" s="46"/>
      <c r="S24" s="46"/>
      <c r="T24" s="47"/>
      <c r="W24" s="74">
        <v>11</v>
      </c>
      <c r="X24" s="76" t="s">
        <v>332</v>
      </c>
      <c r="Y24" s="69" t="s">
        <v>1527</v>
      </c>
      <c r="Z24" s="69" t="s">
        <v>1498</v>
      </c>
      <c r="AA24" s="78" t="s">
        <v>1389</v>
      </c>
    </row>
    <row r="25" spans="1:27" ht="30.45" customHeight="1">
      <c r="W25" s="74">
        <v>12</v>
      </c>
      <c r="X25" s="76" t="s">
        <v>332</v>
      </c>
      <c r="Y25" s="69" t="s">
        <v>1528</v>
      </c>
      <c r="Z25" s="69" t="s">
        <v>1499</v>
      </c>
      <c r="AA25" s="78" t="s">
        <v>1390</v>
      </c>
    </row>
    <row r="26" spans="1:27" ht="30.45" customHeight="1">
      <c r="W26" s="74">
        <v>13</v>
      </c>
      <c r="X26" s="76" t="s">
        <v>357</v>
      </c>
      <c r="Y26" s="69" t="s">
        <v>1529</v>
      </c>
      <c r="Z26" s="69" t="s">
        <v>1500</v>
      </c>
      <c r="AA26" s="78" t="s">
        <v>1391</v>
      </c>
    </row>
    <row r="27" spans="1:27" ht="30.45" customHeight="1">
      <c r="W27" s="74">
        <v>14</v>
      </c>
      <c r="X27" s="76" t="s">
        <v>316</v>
      </c>
      <c r="Y27" s="69" t="s">
        <v>1530</v>
      </c>
      <c r="Z27" s="69" t="s">
        <v>1501</v>
      </c>
      <c r="AA27" s="78" t="s">
        <v>1392</v>
      </c>
    </row>
    <row r="28" spans="1:27" ht="30.45" customHeight="1">
      <c r="W28" s="75">
        <v>15</v>
      </c>
      <c r="X28" s="77" t="s">
        <v>332</v>
      </c>
      <c r="Y28" s="72" t="s">
        <v>1531</v>
      </c>
      <c r="Z28" s="72" t="s">
        <v>1502</v>
      </c>
      <c r="AA28" s="79" t="s">
        <v>1393</v>
      </c>
    </row>
  </sheetData>
  <mergeCells count="34">
    <mergeCell ref="A21:A24"/>
    <mergeCell ref="W2:AA2"/>
    <mergeCell ref="W9:AA9"/>
    <mergeCell ref="W12:AA12"/>
    <mergeCell ref="K7:L7"/>
    <mergeCell ref="M7:N7"/>
    <mergeCell ref="O7:T7"/>
    <mergeCell ref="A10:A13"/>
    <mergeCell ref="A14:A20"/>
    <mergeCell ref="A7:B7"/>
    <mergeCell ref="C7:D7"/>
    <mergeCell ref="E7:F7"/>
    <mergeCell ref="G7:H7"/>
    <mergeCell ref="I7:J7"/>
    <mergeCell ref="A4:B4"/>
    <mergeCell ref="C4:T4"/>
    <mergeCell ref="A5:B5"/>
    <mergeCell ref="C5:T5"/>
    <mergeCell ref="A6:B6"/>
    <mergeCell ref="C6:D6"/>
    <mergeCell ref="E6:F6"/>
    <mergeCell ref="G6:H6"/>
    <mergeCell ref="I6:J6"/>
    <mergeCell ref="K6:L6"/>
    <mergeCell ref="M6:N6"/>
    <mergeCell ref="O6:T6"/>
    <mergeCell ref="A2:B2"/>
    <mergeCell ref="C2:D2"/>
    <mergeCell ref="F2:G2"/>
    <mergeCell ref="H2:T2"/>
    <mergeCell ref="A3:B3"/>
    <mergeCell ref="C3:D3"/>
    <mergeCell ref="F3:G3"/>
    <mergeCell ref="H3:T3"/>
  </mergeCells>
  <conditionalFormatting sqref="F22:T22">
    <cfRule type="expression" dxfId="29" priority="1">
      <formula>F22="Passed"</formula>
    </cfRule>
    <cfRule type="expression" dxfId="28" priority="2">
      <formula>F22="Failed"</formula>
    </cfRule>
    <cfRule type="expression" dxfId="27" priority="3">
      <formula>F22="Blocked"</formula>
    </cfRule>
  </conditionalFormatting>
  <dataValidations count="1">
    <dataValidation type="list" sqref="F22:T22" xr:uid="{00000000-0002-0000-0B00-000000000000}">
      <formula1>"Passed,Failed,Blocked"</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28"/>
  <sheetViews>
    <sheetView topLeftCell="A13" workbookViewId="0">
      <selection activeCell="G18" sqref="G18"/>
    </sheetView>
  </sheetViews>
  <sheetFormatPr defaultRowHeight="13.8"/>
  <cols>
    <col min="1" max="1" width="15" customWidth="1"/>
    <col min="2" max="5" width="16" customWidth="1"/>
    <col min="6" max="20" width="20" customWidth="1"/>
    <col min="23" max="24" width="20" customWidth="1"/>
    <col min="25" max="26" width="38" customWidth="1"/>
    <col min="27" max="27" width="16" customWidth="1"/>
  </cols>
  <sheetData>
    <row r="1" spans="1:27">
      <c r="A1" s="1"/>
      <c r="B1" s="1"/>
      <c r="C1" s="1"/>
      <c r="D1" s="1"/>
      <c r="E1" s="1"/>
      <c r="F1" s="1"/>
      <c r="G1" s="1"/>
      <c r="H1" s="1"/>
      <c r="I1" s="1"/>
      <c r="J1" s="1"/>
      <c r="K1" s="1"/>
      <c r="L1" s="1"/>
      <c r="M1" s="1"/>
      <c r="N1" s="1"/>
      <c r="O1" s="1"/>
      <c r="P1" s="1"/>
      <c r="Q1" s="1"/>
      <c r="R1" s="1"/>
      <c r="S1" s="1"/>
      <c r="T1" s="1"/>
    </row>
    <row r="2" spans="1:27" ht="22.35" customHeight="1">
      <c r="A2" s="122" t="s">
        <v>199</v>
      </c>
      <c r="B2" s="123"/>
      <c r="C2" s="124" t="s">
        <v>119</v>
      </c>
      <c r="D2" s="124"/>
      <c r="E2" s="18"/>
      <c r="F2" s="123" t="s">
        <v>63</v>
      </c>
      <c r="G2" s="123"/>
      <c r="H2" s="124" t="s">
        <v>118</v>
      </c>
      <c r="I2" s="124"/>
      <c r="J2" s="124"/>
      <c r="K2" s="124"/>
      <c r="L2" s="124"/>
      <c r="M2" s="124"/>
      <c r="N2" s="124"/>
      <c r="O2" s="124"/>
      <c r="P2" s="124"/>
      <c r="Q2" s="124"/>
      <c r="R2" s="124"/>
      <c r="S2" s="124"/>
      <c r="T2" s="125"/>
      <c r="W2" s="138" t="s">
        <v>200</v>
      </c>
      <c r="X2" s="138"/>
      <c r="Y2" s="138"/>
      <c r="Z2" s="138"/>
      <c r="AA2" s="138"/>
    </row>
    <row r="3" spans="1:27" ht="22.35" customHeight="1">
      <c r="A3" s="126" t="s">
        <v>201</v>
      </c>
      <c r="B3" s="127"/>
      <c r="C3" s="128" t="s">
        <v>37</v>
      </c>
      <c r="D3" s="128"/>
      <c r="E3" s="1"/>
      <c r="F3" s="127" t="s">
        <v>202</v>
      </c>
      <c r="G3" s="127"/>
      <c r="H3" s="128"/>
      <c r="I3" s="128"/>
      <c r="J3" s="128"/>
      <c r="K3" s="128"/>
      <c r="L3" s="128"/>
      <c r="M3" s="128"/>
      <c r="N3" s="128"/>
      <c r="O3" s="128"/>
      <c r="P3" s="128"/>
      <c r="Q3" s="128"/>
      <c r="R3" s="128"/>
      <c r="S3" s="128"/>
      <c r="T3" s="129"/>
      <c r="W3" s="65" t="s">
        <v>203</v>
      </c>
      <c r="X3" s="66" t="s">
        <v>204</v>
      </c>
      <c r="Y3" s="66" t="s">
        <v>205</v>
      </c>
      <c r="Z3" s="66" t="s">
        <v>206</v>
      </c>
      <c r="AA3" s="67" t="s">
        <v>207</v>
      </c>
    </row>
    <row r="4" spans="1:27" ht="30.45" customHeight="1">
      <c r="A4" s="126" t="s">
        <v>208</v>
      </c>
      <c r="B4" s="127"/>
      <c r="C4" s="128" t="s">
        <v>1532</v>
      </c>
      <c r="D4" s="128"/>
      <c r="E4" s="128"/>
      <c r="F4" s="128"/>
      <c r="G4" s="128"/>
      <c r="H4" s="128"/>
      <c r="I4" s="128"/>
      <c r="J4" s="128"/>
      <c r="K4" s="128"/>
      <c r="L4" s="128"/>
      <c r="M4" s="128"/>
      <c r="N4" s="128"/>
      <c r="O4" s="128"/>
      <c r="P4" s="128"/>
      <c r="Q4" s="128"/>
      <c r="R4" s="128"/>
      <c r="S4" s="128"/>
      <c r="T4" s="129"/>
      <c r="W4" s="68" t="s">
        <v>1533</v>
      </c>
      <c r="X4" s="69" t="s">
        <v>1534</v>
      </c>
      <c r="Y4" s="69" t="s">
        <v>1535</v>
      </c>
      <c r="Z4" s="69" t="s">
        <v>1536</v>
      </c>
      <c r="AA4" s="70" t="s">
        <v>1537</v>
      </c>
    </row>
    <row r="5" spans="1:27" ht="30.45" customHeight="1">
      <c r="A5" s="126" t="s">
        <v>215</v>
      </c>
      <c r="B5" s="127"/>
      <c r="C5" s="128" t="s">
        <v>116</v>
      </c>
      <c r="D5" s="128"/>
      <c r="E5" s="128"/>
      <c r="F5" s="128"/>
      <c r="G5" s="128"/>
      <c r="H5" s="128"/>
      <c r="I5" s="128"/>
      <c r="J5" s="128"/>
      <c r="K5" s="128"/>
      <c r="L5" s="128"/>
      <c r="M5" s="128"/>
      <c r="N5" s="128"/>
      <c r="O5" s="128"/>
      <c r="P5" s="128"/>
      <c r="Q5" s="128"/>
      <c r="R5" s="128"/>
      <c r="S5" s="128"/>
      <c r="T5" s="129"/>
      <c r="W5" s="68" t="s">
        <v>1538</v>
      </c>
      <c r="X5" s="69" t="s">
        <v>1539</v>
      </c>
      <c r="Y5" s="69" t="s">
        <v>1540</v>
      </c>
      <c r="Z5" s="69" t="s">
        <v>1541</v>
      </c>
      <c r="AA5" s="70" t="s">
        <v>1542</v>
      </c>
    </row>
    <row r="6" spans="1:27" ht="30.45" customHeight="1">
      <c r="A6" s="130" t="s">
        <v>173</v>
      </c>
      <c r="B6" s="131"/>
      <c r="C6" s="131" t="s">
        <v>174</v>
      </c>
      <c r="D6" s="131"/>
      <c r="E6" s="131" t="s">
        <v>175</v>
      </c>
      <c r="F6" s="131"/>
      <c r="G6" s="131" t="s">
        <v>180</v>
      </c>
      <c r="H6" s="131"/>
      <c r="I6" s="131" t="s">
        <v>184</v>
      </c>
      <c r="J6" s="131"/>
      <c r="K6" s="131" t="s">
        <v>185</v>
      </c>
      <c r="L6" s="131"/>
      <c r="M6" s="131" t="s">
        <v>186</v>
      </c>
      <c r="N6" s="131"/>
      <c r="O6" s="131" t="s">
        <v>187</v>
      </c>
      <c r="P6" s="131"/>
      <c r="Q6" s="131"/>
      <c r="R6" s="131"/>
      <c r="S6" s="131"/>
      <c r="T6" s="132"/>
      <c r="W6" s="68" t="s">
        <v>1543</v>
      </c>
      <c r="X6" s="69" t="s">
        <v>1544</v>
      </c>
      <c r="Y6" s="69" t="s">
        <v>1545</v>
      </c>
      <c r="Z6" s="69" t="s">
        <v>1546</v>
      </c>
      <c r="AA6" s="70" t="s">
        <v>1547</v>
      </c>
    </row>
    <row r="7" spans="1:27" ht="30.45" customHeight="1">
      <c r="A7" s="133">
        <f>COUNTIF(F22:T22,"Passed")</f>
        <v>0</v>
      </c>
      <c r="B7" s="134"/>
      <c r="C7" s="134">
        <f>COUNTIF(F22:T22,"Failed")</f>
        <v>0</v>
      </c>
      <c r="D7" s="134"/>
      <c r="E7" s="134">
        <f>COUNTIF(F22:T22,"Blocked")</f>
        <v>0</v>
      </c>
      <c r="F7" s="134"/>
      <c r="G7" s="134">
        <f>15-A7-C7-E7</f>
        <v>15</v>
      </c>
      <c r="H7" s="134"/>
      <c r="I7" s="134">
        <f>COUNTIF(F21:T21,"N")</f>
        <v>8</v>
      </c>
      <c r="J7" s="134"/>
      <c r="K7" s="134">
        <f>COUNTIF(F21:T21,"A")</f>
        <v>4</v>
      </c>
      <c r="L7" s="134"/>
      <c r="M7" s="134">
        <f>COUNTIF(F21:T21,"B")</f>
        <v>3</v>
      </c>
      <c r="N7" s="134"/>
      <c r="O7" s="134">
        <v>15</v>
      </c>
      <c r="P7" s="134"/>
      <c r="Q7" s="134"/>
      <c r="R7" s="134"/>
      <c r="S7" s="134"/>
      <c r="T7" s="135"/>
      <c r="W7" s="68" t="s">
        <v>1548</v>
      </c>
      <c r="X7" s="69" t="s">
        <v>1549</v>
      </c>
      <c r="Y7" s="69" t="s">
        <v>1550</v>
      </c>
      <c r="Z7" s="69" t="s">
        <v>1551</v>
      </c>
      <c r="AA7" s="70" t="s">
        <v>1552</v>
      </c>
    </row>
    <row r="8" spans="1:27" ht="30.45" customHeight="1">
      <c r="A8" s="1"/>
      <c r="B8" s="1"/>
      <c r="C8" s="1"/>
      <c r="D8" s="1"/>
      <c r="E8" s="1"/>
      <c r="F8" s="1"/>
      <c r="G8" s="1"/>
      <c r="H8" s="1"/>
      <c r="I8" s="1"/>
      <c r="J8" s="1"/>
      <c r="K8" s="1"/>
      <c r="L8" s="1"/>
      <c r="M8" s="1"/>
      <c r="N8" s="1"/>
      <c r="O8" s="1"/>
      <c r="P8" s="1"/>
      <c r="Q8" s="1"/>
      <c r="R8" s="1"/>
      <c r="S8" s="1"/>
      <c r="T8" s="1"/>
      <c r="W8" s="71" t="s">
        <v>1553</v>
      </c>
      <c r="X8" s="72" t="s">
        <v>1554</v>
      </c>
      <c r="Y8" s="72" t="s">
        <v>563</v>
      </c>
      <c r="Z8" s="72" t="s">
        <v>1555</v>
      </c>
      <c r="AA8" s="73" t="s">
        <v>1556</v>
      </c>
    </row>
    <row r="9" spans="1:27" ht="35.25" customHeight="1">
      <c r="A9" s="42"/>
      <c r="B9" s="43"/>
      <c r="C9" s="43"/>
      <c r="D9" s="43"/>
      <c r="E9" s="43"/>
      <c r="F9" s="43" t="s">
        <v>119</v>
      </c>
      <c r="G9" s="43" t="s">
        <v>1557</v>
      </c>
      <c r="H9" s="43" t="s">
        <v>1558</v>
      </c>
      <c r="I9" s="43" t="s">
        <v>1559</v>
      </c>
      <c r="J9" s="43" t="s">
        <v>1560</v>
      </c>
      <c r="K9" s="43" t="s">
        <v>1561</v>
      </c>
      <c r="L9" s="43" t="s">
        <v>1562</v>
      </c>
      <c r="M9" s="43" t="s">
        <v>1563</v>
      </c>
      <c r="N9" s="43" t="s">
        <v>1564</v>
      </c>
      <c r="O9" s="43" t="s">
        <v>1565</v>
      </c>
      <c r="P9" s="43" t="s">
        <v>1566</v>
      </c>
      <c r="Q9" s="43" t="s">
        <v>1567</v>
      </c>
      <c r="R9" s="43" t="s">
        <v>1568</v>
      </c>
      <c r="S9" s="43" t="s">
        <v>1569</v>
      </c>
      <c r="T9" s="44" t="s">
        <v>1570</v>
      </c>
      <c r="W9" s="139" t="s">
        <v>247</v>
      </c>
      <c r="X9" s="140"/>
      <c r="Y9" s="140"/>
      <c r="Z9" s="140"/>
      <c r="AA9" s="141"/>
    </row>
    <row r="10" spans="1:27" ht="38.4" customHeight="1">
      <c r="A10" s="136" t="s">
        <v>248</v>
      </c>
      <c r="B10" s="41" t="s">
        <v>249</v>
      </c>
      <c r="C10" s="41"/>
      <c r="D10" s="41"/>
      <c r="E10" s="41"/>
      <c r="F10" s="3" t="s">
        <v>1571</v>
      </c>
      <c r="G10" s="3" t="s">
        <v>1572</v>
      </c>
      <c r="H10" s="3" t="s">
        <v>1573</v>
      </c>
      <c r="I10" s="3" t="s">
        <v>1574</v>
      </c>
      <c r="J10" s="3" t="s">
        <v>1575</v>
      </c>
      <c r="K10" s="3" t="s">
        <v>1576</v>
      </c>
      <c r="L10" s="3" t="s">
        <v>1577</v>
      </c>
      <c r="M10" s="3" t="s">
        <v>1548</v>
      </c>
      <c r="N10" s="3" t="s">
        <v>1578</v>
      </c>
      <c r="O10" s="3" t="s">
        <v>1579</v>
      </c>
      <c r="P10" s="3" t="s">
        <v>1580</v>
      </c>
      <c r="Q10" s="3" t="s">
        <v>1581</v>
      </c>
      <c r="R10" s="3" t="s">
        <v>1582</v>
      </c>
      <c r="S10" s="3" t="s">
        <v>1583</v>
      </c>
      <c r="T10" s="7" t="s">
        <v>1584</v>
      </c>
    </row>
    <row r="11" spans="1:27" ht="35.25" customHeight="1">
      <c r="A11" s="136"/>
      <c r="B11" s="41" t="s">
        <v>261</v>
      </c>
      <c r="C11" s="41"/>
      <c r="D11" s="41"/>
      <c r="E11" s="41"/>
      <c r="F11" s="3" t="s">
        <v>1585</v>
      </c>
      <c r="G11" s="3" t="s">
        <v>1586</v>
      </c>
      <c r="H11" s="3" t="s">
        <v>1587</v>
      </c>
      <c r="I11" s="3" t="s">
        <v>1588</v>
      </c>
      <c r="J11" s="3" t="s">
        <v>1589</v>
      </c>
      <c r="K11" s="3" t="s">
        <v>1590</v>
      </c>
      <c r="L11" s="3" t="s">
        <v>1591</v>
      </c>
      <c r="M11" s="3" t="s">
        <v>1592</v>
      </c>
      <c r="N11" s="3" t="s">
        <v>1593</v>
      </c>
      <c r="O11" s="3" t="s">
        <v>1594</v>
      </c>
      <c r="P11" s="3" t="s">
        <v>1595</v>
      </c>
      <c r="Q11" s="3" t="s">
        <v>1596</v>
      </c>
      <c r="R11" s="3" t="s">
        <v>1597</v>
      </c>
      <c r="S11" s="3" t="s">
        <v>1598</v>
      </c>
      <c r="T11" s="7" t="s">
        <v>613</v>
      </c>
    </row>
    <row r="12" spans="1:27" ht="22.35" customHeight="1">
      <c r="A12" s="136"/>
      <c r="B12" s="41" t="s">
        <v>274</v>
      </c>
      <c r="C12" s="41"/>
      <c r="D12" s="41"/>
      <c r="E12" s="41"/>
      <c r="F12" s="3" t="s">
        <v>1599</v>
      </c>
      <c r="G12" s="3" t="s">
        <v>1600</v>
      </c>
      <c r="H12" s="3" t="s">
        <v>1601</v>
      </c>
      <c r="I12" s="3" t="s">
        <v>1602</v>
      </c>
      <c r="J12" s="3" t="s">
        <v>1603</v>
      </c>
      <c r="K12" s="3" t="s">
        <v>1604</v>
      </c>
      <c r="L12" s="3" t="s">
        <v>1605</v>
      </c>
      <c r="M12" s="3" t="s">
        <v>1606</v>
      </c>
      <c r="N12" s="3" t="s">
        <v>1607</v>
      </c>
      <c r="O12" s="3" t="s">
        <v>1606</v>
      </c>
      <c r="P12" s="3" t="s">
        <v>1608</v>
      </c>
      <c r="Q12" s="3" t="s">
        <v>1609</v>
      </c>
      <c r="R12" s="3" t="s">
        <v>1610</v>
      </c>
      <c r="S12" s="3" t="s">
        <v>1611</v>
      </c>
      <c r="T12" s="7" t="s">
        <v>794</v>
      </c>
      <c r="W12" s="138" t="s">
        <v>287</v>
      </c>
      <c r="X12" s="138"/>
      <c r="Y12" s="138"/>
      <c r="Z12" s="138"/>
      <c r="AA12" s="138"/>
    </row>
    <row r="13" spans="1:27" ht="22.35" customHeight="1">
      <c r="A13" s="136"/>
      <c r="B13" s="41" t="s">
        <v>288</v>
      </c>
      <c r="C13" s="41"/>
      <c r="D13" s="41"/>
      <c r="E13" s="41"/>
      <c r="F13" s="3" t="s">
        <v>292</v>
      </c>
      <c r="G13" s="3" t="s">
        <v>1612</v>
      </c>
      <c r="H13" s="3" t="s">
        <v>1613</v>
      </c>
      <c r="I13" s="3" t="s">
        <v>292</v>
      </c>
      <c r="J13" s="3" t="s">
        <v>1614</v>
      </c>
      <c r="K13" s="3" t="s">
        <v>1615</v>
      </c>
      <c r="L13" s="3" t="s">
        <v>292</v>
      </c>
      <c r="M13" s="3" t="s">
        <v>1616</v>
      </c>
      <c r="N13" s="3" t="s">
        <v>1617</v>
      </c>
      <c r="O13" s="3" t="s">
        <v>1618</v>
      </c>
      <c r="P13" s="3" t="s">
        <v>1619</v>
      </c>
      <c r="Q13" s="3" t="s">
        <v>1620</v>
      </c>
      <c r="R13" s="3" t="s">
        <v>1621</v>
      </c>
      <c r="S13" s="3" t="s">
        <v>1622</v>
      </c>
      <c r="T13" s="7" t="s">
        <v>1623</v>
      </c>
      <c r="W13" s="65" t="s">
        <v>299</v>
      </c>
      <c r="X13" s="66" t="s">
        <v>300</v>
      </c>
      <c r="Y13" s="66" t="s">
        <v>301</v>
      </c>
      <c r="Z13" s="66" t="s">
        <v>302</v>
      </c>
      <c r="AA13" s="67" t="s">
        <v>303</v>
      </c>
    </row>
    <row r="14" spans="1:27" ht="30.45" customHeight="1">
      <c r="A14" s="136" t="s">
        <v>304</v>
      </c>
      <c r="B14" s="41" t="s">
        <v>305</v>
      </c>
      <c r="C14" s="41"/>
      <c r="D14" s="41"/>
      <c r="E14" s="41"/>
      <c r="F14" s="3" t="s">
        <v>1624</v>
      </c>
      <c r="G14" s="3" t="s">
        <v>1625</v>
      </c>
      <c r="H14" s="3" t="s">
        <v>1625</v>
      </c>
      <c r="I14" s="3" t="s">
        <v>1625</v>
      </c>
      <c r="J14" s="3" t="s">
        <v>1626</v>
      </c>
      <c r="K14" s="3" t="s">
        <v>1627</v>
      </c>
      <c r="L14" s="3" t="s">
        <v>1628</v>
      </c>
      <c r="M14" s="3" t="s">
        <v>1629</v>
      </c>
      <c r="N14" s="3" t="s">
        <v>1630</v>
      </c>
      <c r="O14" s="3" t="s">
        <v>1630</v>
      </c>
      <c r="P14" s="3" t="s">
        <v>1115</v>
      </c>
      <c r="Q14" s="3" t="s">
        <v>1631</v>
      </c>
      <c r="R14" s="3" t="s">
        <v>649</v>
      </c>
      <c r="S14" s="3" t="s">
        <v>1632</v>
      </c>
      <c r="T14" s="7" t="s">
        <v>1633</v>
      </c>
      <c r="W14" s="74">
        <v>1</v>
      </c>
      <c r="X14" s="76" t="s">
        <v>316</v>
      </c>
      <c r="Y14" s="69" t="s">
        <v>1634</v>
      </c>
      <c r="Z14" s="69" t="s">
        <v>1635</v>
      </c>
      <c r="AA14" s="78" t="s">
        <v>119</v>
      </c>
    </row>
    <row r="15" spans="1:27" ht="30.45" customHeight="1">
      <c r="A15" s="136"/>
      <c r="B15" s="41" t="s">
        <v>319</v>
      </c>
      <c r="C15" s="41"/>
      <c r="D15" s="41"/>
      <c r="E15" s="41"/>
      <c r="F15" s="3" t="s">
        <v>1636</v>
      </c>
      <c r="G15" s="3" t="s">
        <v>1637</v>
      </c>
      <c r="H15" s="3" t="s">
        <v>1638</v>
      </c>
      <c r="I15" s="3" t="s">
        <v>1639</v>
      </c>
      <c r="J15" s="3" t="s">
        <v>1640</v>
      </c>
      <c r="K15" s="3" t="s">
        <v>1641</v>
      </c>
      <c r="L15" s="3" t="s">
        <v>1642</v>
      </c>
      <c r="M15" s="3" t="s">
        <v>1643</v>
      </c>
      <c r="N15" s="3" t="s">
        <v>1644</v>
      </c>
      <c r="O15" s="3" t="s">
        <v>1643</v>
      </c>
      <c r="P15" s="3" t="s">
        <v>1643</v>
      </c>
      <c r="Q15" s="3" t="s">
        <v>1645</v>
      </c>
      <c r="R15" s="3" t="s">
        <v>1646</v>
      </c>
      <c r="S15" s="3" t="s">
        <v>1647</v>
      </c>
      <c r="T15" s="7" t="s">
        <v>818</v>
      </c>
      <c r="W15" s="74">
        <v>2</v>
      </c>
      <c r="X15" s="76" t="s">
        <v>316</v>
      </c>
      <c r="Y15" s="69" t="s">
        <v>1648</v>
      </c>
      <c r="Z15" s="69" t="s">
        <v>1649</v>
      </c>
      <c r="AA15" s="78" t="s">
        <v>1557</v>
      </c>
    </row>
    <row r="16" spans="1:27" ht="30.45" customHeight="1">
      <c r="A16" s="136"/>
      <c r="B16" s="41" t="s">
        <v>335</v>
      </c>
      <c r="C16" s="41"/>
      <c r="D16" s="41"/>
      <c r="E16" s="41"/>
      <c r="F16" s="3" t="s">
        <v>1650</v>
      </c>
      <c r="G16" s="3" t="s">
        <v>1651</v>
      </c>
      <c r="H16" s="3" t="s">
        <v>1652</v>
      </c>
      <c r="I16" s="3" t="s">
        <v>644</v>
      </c>
      <c r="J16" s="3" t="s">
        <v>1653</v>
      </c>
      <c r="K16" s="3" t="s">
        <v>1654</v>
      </c>
      <c r="L16" s="3" t="s">
        <v>1655</v>
      </c>
      <c r="M16" s="3" t="s">
        <v>1656</v>
      </c>
      <c r="N16" s="3" t="s">
        <v>1657</v>
      </c>
      <c r="O16" s="3" t="s">
        <v>1656</v>
      </c>
      <c r="P16" s="3" t="s">
        <v>1658</v>
      </c>
      <c r="Q16" s="3" t="s">
        <v>1659</v>
      </c>
      <c r="R16" s="3" t="s">
        <v>1660</v>
      </c>
      <c r="S16" s="3" t="s">
        <v>1661</v>
      </c>
      <c r="T16" s="7" t="s">
        <v>1662</v>
      </c>
      <c r="W16" s="74">
        <v>3</v>
      </c>
      <c r="X16" s="76" t="s">
        <v>316</v>
      </c>
      <c r="Y16" s="69" t="s">
        <v>1663</v>
      </c>
      <c r="Z16" s="69" t="s">
        <v>1664</v>
      </c>
      <c r="AA16" s="78" t="s">
        <v>1558</v>
      </c>
    </row>
    <row r="17" spans="1:27" ht="30.45" customHeight="1">
      <c r="A17" s="136"/>
      <c r="B17" s="41" t="s">
        <v>346</v>
      </c>
      <c r="C17" s="41"/>
      <c r="D17" s="41"/>
      <c r="E17" s="41"/>
      <c r="F17" s="3" t="s">
        <v>644</v>
      </c>
      <c r="G17" s="3" t="s">
        <v>1652</v>
      </c>
      <c r="H17" s="3" t="s">
        <v>1484</v>
      </c>
      <c r="I17" s="3" t="s">
        <v>292</v>
      </c>
      <c r="J17" s="3" t="s">
        <v>1665</v>
      </c>
      <c r="K17" s="3" t="s">
        <v>1666</v>
      </c>
      <c r="L17" s="3" t="s">
        <v>1667</v>
      </c>
      <c r="M17" s="3" t="s">
        <v>1668</v>
      </c>
      <c r="N17" s="3" t="s">
        <v>1669</v>
      </c>
      <c r="O17" s="3" t="s">
        <v>292</v>
      </c>
      <c r="P17" s="3" t="s">
        <v>1670</v>
      </c>
      <c r="Q17" s="3" t="s">
        <v>1671</v>
      </c>
      <c r="R17" s="3" t="s">
        <v>1672</v>
      </c>
      <c r="S17" s="3" t="s">
        <v>644</v>
      </c>
      <c r="T17" s="7" t="s">
        <v>1673</v>
      </c>
      <c r="W17" s="74">
        <v>4</v>
      </c>
      <c r="X17" s="76" t="s">
        <v>357</v>
      </c>
      <c r="Y17" s="69" t="s">
        <v>1674</v>
      </c>
      <c r="Z17" s="69" t="s">
        <v>1675</v>
      </c>
      <c r="AA17" s="78" t="s">
        <v>1559</v>
      </c>
    </row>
    <row r="18" spans="1:27" ht="30.45" customHeight="1">
      <c r="A18" s="136"/>
      <c r="B18" s="41" t="s">
        <v>302</v>
      </c>
      <c r="C18" s="41"/>
      <c r="D18" s="41"/>
      <c r="E18" s="41"/>
      <c r="F18" s="3" t="s">
        <v>1635</v>
      </c>
      <c r="G18" s="3" t="s">
        <v>1649</v>
      </c>
      <c r="H18" s="3" t="s">
        <v>1664</v>
      </c>
      <c r="I18" s="3" t="s">
        <v>1675</v>
      </c>
      <c r="J18" s="3" t="s">
        <v>1676</v>
      </c>
      <c r="K18" s="3" t="s">
        <v>1677</v>
      </c>
      <c r="L18" s="3" t="s">
        <v>1678</v>
      </c>
      <c r="M18" s="3" t="s">
        <v>1679</v>
      </c>
      <c r="N18" s="3" t="s">
        <v>1680</v>
      </c>
      <c r="O18" s="3" t="s">
        <v>1681</v>
      </c>
      <c r="P18" s="3" t="s">
        <v>1682</v>
      </c>
      <c r="Q18" s="3" t="s">
        <v>1683</v>
      </c>
      <c r="R18" s="3" t="s">
        <v>1684</v>
      </c>
      <c r="S18" s="3" t="s">
        <v>1685</v>
      </c>
      <c r="T18" s="7" t="s">
        <v>1686</v>
      </c>
      <c r="W18" s="74">
        <v>5</v>
      </c>
      <c r="X18" s="76" t="s">
        <v>316</v>
      </c>
      <c r="Y18" s="69" t="s">
        <v>1687</v>
      </c>
      <c r="Z18" s="69" t="s">
        <v>1676</v>
      </c>
      <c r="AA18" s="78" t="s">
        <v>1560</v>
      </c>
    </row>
    <row r="19" spans="1:27" ht="30.45" customHeight="1">
      <c r="A19" s="136"/>
      <c r="B19" s="41" t="s">
        <v>369</v>
      </c>
      <c r="C19" s="41"/>
      <c r="D19" s="41"/>
      <c r="E19" s="41"/>
      <c r="F19" s="3"/>
      <c r="G19" s="3"/>
      <c r="H19" s="3"/>
      <c r="I19" s="3"/>
      <c r="J19" s="3"/>
      <c r="K19" s="3"/>
      <c r="L19" s="3"/>
      <c r="M19" s="3"/>
      <c r="N19" s="3"/>
      <c r="O19" s="3"/>
      <c r="P19" s="3" t="s">
        <v>1688</v>
      </c>
      <c r="Q19" s="3" t="s">
        <v>1689</v>
      </c>
      <c r="R19" s="3"/>
      <c r="S19" s="3"/>
      <c r="T19" s="7" t="s">
        <v>541</v>
      </c>
      <c r="W19" s="74">
        <v>6</v>
      </c>
      <c r="X19" s="76" t="s">
        <v>316</v>
      </c>
      <c r="Y19" s="69" t="s">
        <v>1690</v>
      </c>
      <c r="Z19" s="69" t="s">
        <v>1677</v>
      </c>
      <c r="AA19" s="78" t="s">
        <v>1561</v>
      </c>
    </row>
    <row r="20" spans="1:27" ht="30.45" customHeight="1">
      <c r="A20" s="136"/>
      <c r="B20" s="41" t="s">
        <v>378</v>
      </c>
      <c r="C20" s="41"/>
      <c r="D20" s="41"/>
      <c r="E20" s="41"/>
      <c r="F20" s="3" t="s">
        <v>1691</v>
      </c>
      <c r="G20" s="3" t="s">
        <v>1692</v>
      </c>
      <c r="H20" s="3" t="s">
        <v>1693</v>
      </c>
      <c r="I20" s="3" t="s">
        <v>1693</v>
      </c>
      <c r="J20" s="3" t="s">
        <v>1694</v>
      </c>
      <c r="K20" s="3" t="s">
        <v>1695</v>
      </c>
      <c r="L20" s="3" t="s">
        <v>1696</v>
      </c>
      <c r="M20" s="3" t="s">
        <v>1697</v>
      </c>
      <c r="N20" s="3" t="s">
        <v>1698</v>
      </c>
      <c r="O20" s="3" t="s">
        <v>1699</v>
      </c>
      <c r="P20" s="3" t="s">
        <v>1700</v>
      </c>
      <c r="Q20" s="3" t="s">
        <v>1701</v>
      </c>
      <c r="R20" s="3" t="s">
        <v>1702</v>
      </c>
      <c r="S20" s="3" t="s">
        <v>1703</v>
      </c>
      <c r="T20" s="7" t="s">
        <v>1704</v>
      </c>
      <c r="W20" s="74">
        <v>7</v>
      </c>
      <c r="X20" s="76" t="s">
        <v>316</v>
      </c>
      <c r="Y20" s="69" t="s">
        <v>1705</v>
      </c>
      <c r="Z20" s="69" t="s">
        <v>1678</v>
      </c>
      <c r="AA20" s="78" t="s">
        <v>1562</v>
      </c>
    </row>
    <row r="21" spans="1:27" ht="30.45" customHeight="1">
      <c r="A21" s="136" t="s">
        <v>392</v>
      </c>
      <c r="B21" s="41" t="s">
        <v>393</v>
      </c>
      <c r="C21" s="41"/>
      <c r="D21" s="41"/>
      <c r="E21" s="41"/>
      <c r="F21" s="48" t="s">
        <v>184</v>
      </c>
      <c r="G21" s="48" t="s">
        <v>184</v>
      </c>
      <c r="H21" s="48" t="s">
        <v>184</v>
      </c>
      <c r="I21" s="48" t="s">
        <v>186</v>
      </c>
      <c r="J21" s="48" t="s">
        <v>184</v>
      </c>
      <c r="K21" s="48" t="s">
        <v>184</v>
      </c>
      <c r="L21" s="48" t="s">
        <v>184</v>
      </c>
      <c r="M21" s="48" t="s">
        <v>184</v>
      </c>
      <c r="N21" s="48" t="s">
        <v>186</v>
      </c>
      <c r="O21" s="48" t="s">
        <v>186</v>
      </c>
      <c r="P21" s="48" t="s">
        <v>185</v>
      </c>
      <c r="Q21" s="48" t="s">
        <v>185</v>
      </c>
      <c r="R21" s="48" t="s">
        <v>185</v>
      </c>
      <c r="S21" s="48" t="s">
        <v>184</v>
      </c>
      <c r="T21" s="49" t="s">
        <v>185</v>
      </c>
      <c r="W21" s="74">
        <v>8</v>
      </c>
      <c r="X21" s="76" t="s">
        <v>316</v>
      </c>
      <c r="Y21" s="69" t="s">
        <v>1706</v>
      </c>
      <c r="Z21" s="69" t="s">
        <v>1679</v>
      </c>
      <c r="AA21" s="78" t="s">
        <v>1563</v>
      </c>
    </row>
    <row r="22" spans="1:27" ht="19.2" customHeight="1">
      <c r="A22" s="136"/>
      <c r="B22" s="83" t="s">
        <v>395</v>
      </c>
      <c r="C22" s="84"/>
      <c r="D22" s="84"/>
      <c r="E22" s="85"/>
      <c r="F22" s="86"/>
      <c r="G22" s="87"/>
      <c r="H22" s="87"/>
      <c r="I22" s="87"/>
      <c r="J22" s="87"/>
      <c r="K22" s="87"/>
      <c r="L22" s="87"/>
      <c r="M22" s="87"/>
      <c r="N22" s="87"/>
      <c r="O22" s="87"/>
      <c r="P22" s="87"/>
      <c r="Q22" s="87"/>
      <c r="R22" s="87"/>
      <c r="S22" s="87"/>
      <c r="T22" s="88"/>
      <c r="W22" s="74">
        <v>9</v>
      </c>
      <c r="X22" s="76" t="s">
        <v>357</v>
      </c>
      <c r="Y22" s="69" t="s">
        <v>1707</v>
      </c>
      <c r="Z22" s="69" t="s">
        <v>1680</v>
      </c>
      <c r="AA22" s="78" t="s">
        <v>1564</v>
      </c>
    </row>
    <row r="23" spans="1:27" ht="30.45" customHeight="1">
      <c r="A23" s="136"/>
      <c r="B23" s="41" t="s">
        <v>397</v>
      </c>
      <c r="C23" s="41"/>
      <c r="D23" s="41"/>
      <c r="E23" s="41"/>
      <c r="F23" s="50"/>
      <c r="G23" s="50"/>
      <c r="H23" s="50"/>
      <c r="I23" s="50"/>
      <c r="J23" s="50"/>
      <c r="K23" s="50"/>
      <c r="L23" s="50"/>
      <c r="M23" s="50"/>
      <c r="N23" s="50"/>
      <c r="O23" s="50"/>
      <c r="P23" s="50"/>
      <c r="Q23" s="50"/>
      <c r="R23" s="50"/>
      <c r="S23" s="50"/>
      <c r="T23" s="51"/>
      <c r="W23" s="74">
        <v>10</v>
      </c>
      <c r="X23" s="76" t="s">
        <v>357</v>
      </c>
      <c r="Y23" s="69" t="s">
        <v>1708</v>
      </c>
      <c r="Z23" s="69" t="s">
        <v>1681</v>
      </c>
      <c r="AA23" s="78" t="s">
        <v>1565</v>
      </c>
    </row>
    <row r="24" spans="1:27" ht="30.45" customHeight="1">
      <c r="A24" s="137"/>
      <c r="B24" s="45" t="s">
        <v>399</v>
      </c>
      <c r="C24" s="45"/>
      <c r="D24" s="45"/>
      <c r="E24" s="45"/>
      <c r="F24" s="46"/>
      <c r="G24" s="46"/>
      <c r="H24" s="46"/>
      <c r="I24" s="46"/>
      <c r="J24" s="46"/>
      <c r="K24" s="46"/>
      <c r="L24" s="46"/>
      <c r="M24" s="46"/>
      <c r="N24" s="46"/>
      <c r="O24" s="46"/>
      <c r="P24" s="46"/>
      <c r="Q24" s="46"/>
      <c r="R24" s="46"/>
      <c r="S24" s="46"/>
      <c r="T24" s="47"/>
      <c r="W24" s="74">
        <v>11</v>
      </c>
      <c r="X24" s="76" t="s">
        <v>332</v>
      </c>
      <c r="Y24" s="69" t="s">
        <v>1709</v>
      </c>
      <c r="Z24" s="69" t="s">
        <v>1682</v>
      </c>
      <c r="AA24" s="78" t="s">
        <v>1566</v>
      </c>
    </row>
    <row r="25" spans="1:27" ht="30.45" customHeight="1">
      <c r="W25" s="74">
        <v>12</v>
      </c>
      <c r="X25" s="76" t="s">
        <v>332</v>
      </c>
      <c r="Y25" s="69" t="s">
        <v>1710</v>
      </c>
      <c r="Z25" s="69" t="s">
        <v>1683</v>
      </c>
      <c r="AA25" s="78" t="s">
        <v>1567</v>
      </c>
    </row>
    <row r="26" spans="1:27" ht="30.45" customHeight="1">
      <c r="W26" s="74">
        <v>13</v>
      </c>
      <c r="X26" s="76" t="s">
        <v>332</v>
      </c>
      <c r="Y26" s="69" t="s">
        <v>1711</v>
      </c>
      <c r="Z26" s="69" t="s">
        <v>1684</v>
      </c>
      <c r="AA26" s="78" t="s">
        <v>1568</v>
      </c>
    </row>
    <row r="27" spans="1:27" ht="30.45" customHeight="1">
      <c r="W27" s="74">
        <v>14</v>
      </c>
      <c r="X27" s="76" t="s">
        <v>316</v>
      </c>
      <c r="Y27" s="69" t="s">
        <v>1712</v>
      </c>
      <c r="Z27" s="69" t="s">
        <v>1685</v>
      </c>
      <c r="AA27" s="78" t="s">
        <v>1569</v>
      </c>
    </row>
    <row r="28" spans="1:27" ht="30.45" customHeight="1">
      <c r="W28" s="75">
        <v>15</v>
      </c>
      <c r="X28" s="77" t="s">
        <v>332</v>
      </c>
      <c r="Y28" s="72" t="s">
        <v>1713</v>
      </c>
      <c r="Z28" s="72" t="s">
        <v>1686</v>
      </c>
      <c r="AA28" s="79" t="s">
        <v>1570</v>
      </c>
    </row>
  </sheetData>
  <mergeCells count="34">
    <mergeCell ref="A21:A24"/>
    <mergeCell ref="W2:AA2"/>
    <mergeCell ref="W9:AA9"/>
    <mergeCell ref="W12:AA12"/>
    <mergeCell ref="K7:L7"/>
    <mergeCell ref="M7:N7"/>
    <mergeCell ref="O7:T7"/>
    <mergeCell ref="A10:A13"/>
    <mergeCell ref="A14:A20"/>
    <mergeCell ref="A7:B7"/>
    <mergeCell ref="C7:D7"/>
    <mergeCell ref="E7:F7"/>
    <mergeCell ref="G7:H7"/>
    <mergeCell ref="I7:J7"/>
    <mergeCell ref="A4:B4"/>
    <mergeCell ref="C4:T4"/>
    <mergeCell ref="A5:B5"/>
    <mergeCell ref="C5:T5"/>
    <mergeCell ref="A6:B6"/>
    <mergeCell ref="C6:D6"/>
    <mergeCell ref="E6:F6"/>
    <mergeCell ref="G6:H6"/>
    <mergeCell ref="I6:J6"/>
    <mergeCell ref="K6:L6"/>
    <mergeCell ref="M6:N6"/>
    <mergeCell ref="O6:T6"/>
    <mergeCell ref="A2:B2"/>
    <mergeCell ref="C2:D2"/>
    <mergeCell ref="F2:G2"/>
    <mergeCell ref="H2:T2"/>
    <mergeCell ref="A3:B3"/>
    <mergeCell ref="C3:D3"/>
    <mergeCell ref="F3:G3"/>
    <mergeCell ref="H3:T3"/>
  </mergeCells>
  <conditionalFormatting sqref="F22:T22">
    <cfRule type="expression" dxfId="26" priority="1">
      <formula>F22="Passed"</formula>
    </cfRule>
    <cfRule type="expression" dxfId="25" priority="2">
      <formula>F22="Failed"</formula>
    </cfRule>
    <cfRule type="expression" dxfId="24" priority="3">
      <formula>F22="Blocked"</formula>
    </cfRule>
  </conditionalFormatting>
  <dataValidations count="1">
    <dataValidation type="list" sqref="F22:T22" xr:uid="{00000000-0002-0000-0C00-000000000000}">
      <formula1>"Passed,Failed,Blocked"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28"/>
  <sheetViews>
    <sheetView workbookViewId="0"/>
  </sheetViews>
  <sheetFormatPr defaultRowHeight="13.8"/>
  <cols>
    <col min="1" max="1" width="15" customWidth="1"/>
    <col min="2" max="5" width="16" customWidth="1"/>
    <col min="6" max="20" width="20" customWidth="1"/>
    <col min="23" max="24" width="20" customWidth="1"/>
    <col min="25" max="26" width="38" customWidth="1"/>
    <col min="27" max="27" width="16" customWidth="1"/>
  </cols>
  <sheetData>
    <row r="1" spans="1:27">
      <c r="A1" s="1"/>
      <c r="B1" s="1"/>
      <c r="C1" s="1"/>
      <c r="D1" s="1"/>
      <c r="E1" s="1"/>
      <c r="F1" s="1"/>
      <c r="G1" s="1"/>
      <c r="H1" s="1"/>
      <c r="I1" s="1"/>
      <c r="J1" s="1"/>
      <c r="K1" s="1"/>
      <c r="L1" s="1"/>
      <c r="M1" s="1"/>
      <c r="N1" s="1"/>
      <c r="O1" s="1"/>
      <c r="P1" s="1"/>
      <c r="Q1" s="1"/>
      <c r="R1" s="1"/>
      <c r="S1" s="1"/>
      <c r="T1" s="1"/>
    </row>
    <row r="2" spans="1:27" ht="22.35" customHeight="1">
      <c r="A2" s="122" t="s">
        <v>199</v>
      </c>
      <c r="B2" s="123"/>
      <c r="C2" s="124" t="s">
        <v>125</v>
      </c>
      <c r="D2" s="124"/>
      <c r="E2" s="18"/>
      <c r="F2" s="123" t="s">
        <v>63</v>
      </c>
      <c r="G2" s="123"/>
      <c r="H2" s="124" t="s">
        <v>124</v>
      </c>
      <c r="I2" s="124"/>
      <c r="J2" s="124"/>
      <c r="K2" s="124"/>
      <c r="L2" s="124"/>
      <c r="M2" s="124"/>
      <c r="N2" s="124"/>
      <c r="O2" s="124"/>
      <c r="P2" s="124"/>
      <c r="Q2" s="124"/>
      <c r="R2" s="124"/>
      <c r="S2" s="124"/>
      <c r="T2" s="125"/>
      <c r="W2" s="138" t="s">
        <v>200</v>
      </c>
      <c r="X2" s="138"/>
      <c r="Y2" s="138"/>
      <c r="Z2" s="138"/>
      <c r="AA2" s="138"/>
    </row>
    <row r="3" spans="1:27" ht="22.35" customHeight="1">
      <c r="A3" s="126" t="s">
        <v>201</v>
      </c>
      <c r="B3" s="127"/>
      <c r="C3" s="128" t="s">
        <v>37</v>
      </c>
      <c r="D3" s="128"/>
      <c r="E3" s="1"/>
      <c r="F3" s="127" t="s">
        <v>202</v>
      </c>
      <c r="G3" s="127"/>
      <c r="H3" s="128"/>
      <c r="I3" s="128"/>
      <c r="J3" s="128"/>
      <c r="K3" s="128"/>
      <c r="L3" s="128"/>
      <c r="M3" s="128"/>
      <c r="N3" s="128"/>
      <c r="O3" s="128"/>
      <c r="P3" s="128"/>
      <c r="Q3" s="128"/>
      <c r="R3" s="128"/>
      <c r="S3" s="128"/>
      <c r="T3" s="129"/>
      <c r="W3" s="65" t="s">
        <v>203</v>
      </c>
      <c r="X3" s="66" t="s">
        <v>204</v>
      </c>
      <c r="Y3" s="66" t="s">
        <v>205</v>
      </c>
      <c r="Z3" s="66" t="s">
        <v>206</v>
      </c>
      <c r="AA3" s="67" t="s">
        <v>207</v>
      </c>
    </row>
    <row r="4" spans="1:27" ht="30.45" customHeight="1">
      <c r="A4" s="126" t="s">
        <v>208</v>
      </c>
      <c r="B4" s="127"/>
      <c r="C4" s="128" t="s">
        <v>1714</v>
      </c>
      <c r="D4" s="128"/>
      <c r="E4" s="128"/>
      <c r="F4" s="128"/>
      <c r="G4" s="128"/>
      <c r="H4" s="128"/>
      <c r="I4" s="128"/>
      <c r="J4" s="128"/>
      <c r="K4" s="128"/>
      <c r="L4" s="128"/>
      <c r="M4" s="128"/>
      <c r="N4" s="128"/>
      <c r="O4" s="128"/>
      <c r="P4" s="128"/>
      <c r="Q4" s="128"/>
      <c r="R4" s="128"/>
      <c r="S4" s="128"/>
      <c r="T4" s="129"/>
      <c r="W4" s="68" t="s">
        <v>1715</v>
      </c>
      <c r="X4" s="69" t="s">
        <v>1716</v>
      </c>
      <c r="Y4" s="69" t="s">
        <v>1717</v>
      </c>
      <c r="Z4" s="69" t="s">
        <v>1718</v>
      </c>
      <c r="AA4" s="70" t="s">
        <v>1719</v>
      </c>
    </row>
    <row r="5" spans="1:27" ht="30.45" customHeight="1">
      <c r="A5" s="126" t="s">
        <v>215</v>
      </c>
      <c r="B5" s="127"/>
      <c r="C5" s="128" t="s">
        <v>122</v>
      </c>
      <c r="D5" s="128"/>
      <c r="E5" s="128"/>
      <c r="F5" s="128"/>
      <c r="G5" s="128"/>
      <c r="H5" s="128"/>
      <c r="I5" s="128"/>
      <c r="J5" s="128"/>
      <c r="K5" s="128"/>
      <c r="L5" s="128"/>
      <c r="M5" s="128"/>
      <c r="N5" s="128"/>
      <c r="O5" s="128"/>
      <c r="P5" s="128"/>
      <c r="Q5" s="128"/>
      <c r="R5" s="128"/>
      <c r="S5" s="128"/>
      <c r="T5" s="129"/>
      <c r="W5" s="68" t="s">
        <v>1720</v>
      </c>
      <c r="X5" s="69" t="s">
        <v>1721</v>
      </c>
      <c r="Y5" s="69" t="s">
        <v>1722</v>
      </c>
      <c r="Z5" s="69" t="s">
        <v>1723</v>
      </c>
      <c r="AA5" s="70" t="s">
        <v>1724</v>
      </c>
    </row>
    <row r="6" spans="1:27" ht="30.45" customHeight="1">
      <c r="A6" s="130" t="s">
        <v>173</v>
      </c>
      <c r="B6" s="131"/>
      <c r="C6" s="131" t="s">
        <v>174</v>
      </c>
      <c r="D6" s="131"/>
      <c r="E6" s="131" t="s">
        <v>175</v>
      </c>
      <c r="F6" s="131"/>
      <c r="G6" s="131" t="s">
        <v>180</v>
      </c>
      <c r="H6" s="131"/>
      <c r="I6" s="131" t="s">
        <v>184</v>
      </c>
      <c r="J6" s="131"/>
      <c r="K6" s="131" t="s">
        <v>185</v>
      </c>
      <c r="L6" s="131"/>
      <c r="M6" s="131" t="s">
        <v>186</v>
      </c>
      <c r="N6" s="131"/>
      <c r="O6" s="131" t="s">
        <v>187</v>
      </c>
      <c r="P6" s="131"/>
      <c r="Q6" s="131"/>
      <c r="R6" s="131"/>
      <c r="S6" s="131"/>
      <c r="T6" s="132"/>
      <c r="W6" s="68" t="s">
        <v>1725</v>
      </c>
      <c r="X6" s="69" t="s">
        <v>1726</v>
      </c>
      <c r="Y6" s="69" t="s">
        <v>1727</v>
      </c>
      <c r="Z6" s="69" t="s">
        <v>1728</v>
      </c>
      <c r="AA6" s="70" t="s">
        <v>1729</v>
      </c>
    </row>
    <row r="7" spans="1:27" ht="30.45" customHeight="1">
      <c r="A7" s="133">
        <f>COUNTIF(F22:T22,"Passed")</f>
        <v>0</v>
      </c>
      <c r="B7" s="134"/>
      <c r="C7" s="134">
        <f>COUNTIF(F22:T22,"Failed")</f>
        <v>0</v>
      </c>
      <c r="D7" s="134"/>
      <c r="E7" s="134">
        <f>COUNTIF(F22:T22,"Blocked")</f>
        <v>0</v>
      </c>
      <c r="F7" s="134"/>
      <c r="G7" s="134">
        <f>15-A7-C7-E7</f>
        <v>15</v>
      </c>
      <c r="H7" s="134"/>
      <c r="I7" s="134">
        <f>COUNTIF(F21:T21,"N")</f>
        <v>6</v>
      </c>
      <c r="J7" s="134"/>
      <c r="K7" s="134">
        <f>COUNTIF(F21:T21,"A")</f>
        <v>5</v>
      </c>
      <c r="L7" s="134"/>
      <c r="M7" s="134">
        <f>COUNTIF(F21:T21,"B")</f>
        <v>4</v>
      </c>
      <c r="N7" s="134"/>
      <c r="O7" s="134">
        <v>15</v>
      </c>
      <c r="P7" s="134"/>
      <c r="Q7" s="134"/>
      <c r="R7" s="134"/>
      <c r="S7" s="134"/>
      <c r="T7" s="135"/>
      <c r="W7" s="68" t="s">
        <v>1730</v>
      </c>
      <c r="X7" s="69" t="s">
        <v>1731</v>
      </c>
      <c r="Y7" s="69" t="s">
        <v>1732</v>
      </c>
      <c r="Z7" s="69" t="s">
        <v>1733</v>
      </c>
      <c r="AA7" s="70" t="s">
        <v>1734</v>
      </c>
    </row>
    <row r="8" spans="1:27" ht="30.45" customHeight="1">
      <c r="A8" s="1"/>
      <c r="B8" s="1"/>
      <c r="C8" s="1"/>
      <c r="D8" s="1"/>
      <c r="E8" s="1"/>
      <c r="F8" s="1"/>
      <c r="G8" s="1"/>
      <c r="H8" s="1"/>
      <c r="I8" s="1"/>
      <c r="J8" s="1"/>
      <c r="K8" s="1"/>
      <c r="L8" s="1"/>
      <c r="M8" s="1"/>
      <c r="N8" s="1"/>
      <c r="O8" s="1"/>
      <c r="P8" s="1"/>
      <c r="Q8" s="1"/>
      <c r="R8" s="1"/>
      <c r="S8" s="1"/>
      <c r="T8" s="1"/>
      <c r="W8" s="71" t="s">
        <v>1735</v>
      </c>
      <c r="X8" s="72" t="s">
        <v>1051</v>
      </c>
      <c r="Y8" s="72" t="s">
        <v>1052</v>
      </c>
      <c r="Z8" s="72" t="s">
        <v>1736</v>
      </c>
      <c r="AA8" s="73" t="s">
        <v>1737</v>
      </c>
    </row>
    <row r="9" spans="1:27" ht="35.25" customHeight="1">
      <c r="A9" s="42"/>
      <c r="B9" s="43"/>
      <c r="C9" s="43"/>
      <c r="D9" s="43"/>
      <c r="E9" s="43"/>
      <c r="F9" s="43" t="s">
        <v>1738</v>
      </c>
      <c r="G9" s="43" t="s">
        <v>1739</v>
      </c>
      <c r="H9" s="43" t="s">
        <v>1740</v>
      </c>
      <c r="I9" s="43" t="s">
        <v>1741</v>
      </c>
      <c r="J9" s="43" t="s">
        <v>1742</v>
      </c>
      <c r="K9" s="43" t="s">
        <v>1743</v>
      </c>
      <c r="L9" s="43" t="s">
        <v>1744</v>
      </c>
      <c r="M9" s="43" t="s">
        <v>1745</v>
      </c>
      <c r="N9" s="43" t="s">
        <v>1746</v>
      </c>
      <c r="O9" s="43" t="s">
        <v>1747</v>
      </c>
      <c r="P9" s="43" t="s">
        <v>1748</v>
      </c>
      <c r="Q9" s="43" t="s">
        <v>1749</v>
      </c>
      <c r="R9" s="43" t="s">
        <v>1750</v>
      </c>
      <c r="S9" s="43" t="s">
        <v>1751</v>
      </c>
      <c r="T9" s="44" t="s">
        <v>1752</v>
      </c>
      <c r="W9" s="139" t="s">
        <v>247</v>
      </c>
      <c r="X9" s="140"/>
      <c r="Y9" s="140"/>
      <c r="Z9" s="140"/>
      <c r="AA9" s="141"/>
    </row>
    <row r="10" spans="1:27" ht="38.4" customHeight="1">
      <c r="A10" s="136" t="s">
        <v>248</v>
      </c>
      <c r="B10" s="41" t="s">
        <v>249</v>
      </c>
      <c r="C10" s="41"/>
      <c r="D10" s="41"/>
      <c r="E10" s="41"/>
      <c r="F10" s="3" t="s">
        <v>1753</v>
      </c>
      <c r="G10" s="3" t="s">
        <v>1754</v>
      </c>
      <c r="H10" s="3" t="s">
        <v>1755</v>
      </c>
      <c r="I10" s="3" t="s">
        <v>1756</v>
      </c>
      <c r="J10" s="3" t="s">
        <v>1757</v>
      </c>
      <c r="K10" s="3" t="s">
        <v>1758</v>
      </c>
      <c r="L10" s="3" t="s">
        <v>1759</v>
      </c>
      <c r="M10" s="3" t="s">
        <v>1760</v>
      </c>
      <c r="N10" s="3" t="s">
        <v>1761</v>
      </c>
      <c r="O10" s="3" t="s">
        <v>1762</v>
      </c>
      <c r="P10" s="3" t="s">
        <v>1763</v>
      </c>
      <c r="Q10" s="3" t="s">
        <v>1764</v>
      </c>
      <c r="R10" s="3" t="s">
        <v>1765</v>
      </c>
      <c r="S10" s="3" t="s">
        <v>1766</v>
      </c>
      <c r="T10" s="7" t="s">
        <v>1767</v>
      </c>
    </row>
    <row r="11" spans="1:27" ht="35.25" customHeight="1">
      <c r="A11" s="136"/>
      <c r="B11" s="41" t="s">
        <v>261</v>
      </c>
      <c r="C11" s="41"/>
      <c r="D11" s="41"/>
      <c r="E11" s="41"/>
      <c r="F11" s="3" t="s">
        <v>1768</v>
      </c>
      <c r="G11" s="3" t="s">
        <v>1769</v>
      </c>
      <c r="H11" s="3" t="s">
        <v>1769</v>
      </c>
      <c r="I11" s="3" t="s">
        <v>1770</v>
      </c>
      <c r="J11" s="3" t="s">
        <v>1769</v>
      </c>
      <c r="K11" s="3" t="s">
        <v>1769</v>
      </c>
      <c r="L11" s="3" t="s">
        <v>1771</v>
      </c>
      <c r="M11" s="3" t="s">
        <v>1769</v>
      </c>
      <c r="N11" s="3" t="s">
        <v>1769</v>
      </c>
      <c r="O11" s="3" t="s">
        <v>1769</v>
      </c>
      <c r="P11" s="3" t="s">
        <v>1772</v>
      </c>
      <c r="Q11" s="3" t="s">
        <v>1773</v>
      </c>
      <c r="R11" s="3" t="s">
        <v>1774</v>
      </c>
      <c r="S11" s="3" t="s">
        <v>1775</v>
      </c>
      <c r="T11" s="7" t="s">
        <v>1776</v>
      </c>
    </row>
    <row r="12" spans="1:27" ht="22.35" customHeight="1">
      <c r="A12" s="136"/>
      <c r="B12" s="41" t="s">
        <v>274</v>
      </c>
      <c r="C12" s="41"/>
      <c r="D12" s="41"/>
      <c r="E12" s="41"/>
      <c r="F12" s="3" t="s">
        <v>1777</v>
      </c>
      <c r="G12" s="3" t="s">
        <v>1778</v>
      </c>
      <c r="H12" s="3" t="s">
        <v>1779</v>
      </c>
      <c r="I12" s="3" t="s">
        <v>1780</v>
      </c>
      <c r="J12" s="3" t="s">
        <v>1781</v>
      </c>
      <c r="K12" s="3" t="s">
        <v>1782</v>
      </c>
      <c r="L12" s="3" t="s">
        <v>1783</v>
      </c>
      <c r="M12" s="3" t="s">
        <v>1784</v>
      </c>
      <c r="N12" s="3" t="s">
        <v>1785</v>
      </c>
      <c r="O12" s="3" t="s">
        <v>1786</v>
      </c>
      <c r="P12" s="3" t="s">
        <v>1787</v>
      </c>
      <c r="Q12" s="3" t="s">
        <v>1788</v>
      </c>
      <c r="R12" s="3" t="s">
        <v>1789</v>
      </c>
      <c r="S12" s="3" t="s">
        <v>1790</v>
      </c>
      <c r="T12" s="7" t="s">
        <v>1791</v>
      </c>
      <c r="W12" s="138" t="s">
        <v>287</v>
      </c>
      <c r="X12" s="138"/>
      <c r="Y12" s="138"/>
      <c r="Z12" s="138"/>
      <c r="AA12" s="138"/>
    </row>
    <row r="13" spans="1:27" ht="22.35" customHeight="1">
      <c r="A13" s="136"/>
      <c r="B13" s="41" t="s">
        <v>288</v>
      </c>
      <c r="C13" s="41"/>
      <c r="D13" s="41"/>
      <c r="E13" s="41"/>
      <c r="F13" s="3" t="s">
        <v>1271</v>
      </c>
      <c r="G13" s="3" t="s">
        <v>1792</v>
      </c>
      <c r="H13" s="3" t="s">
        <v>292</v>
      </c>
      <c r="I13" s="3" t="s">
        <v>292</v>
      </c>
      <c r="J13" s="3" t="s">
        <v>1793</v>
      </c>
      <c r="K13" s="3" t="s">
        <v>292</v>
      </c>
      <c r="L13" s="3" t="s">
        <v>292</v>
      </c>
      <c r="M13" s="3" t="s">
        <v>1794</v>
      </c>
      <c r="N13" s="3" t="s">
        <v>1795</v>
      </c>
      <c r="O13" s="3" t="s">
        <v>1796</v>
      </c>
      <c r="P13" s="3" t="s">
        <v>292</v>
      </c>
      <c r="Q13" s="3" t="s">
        <v>292</v>
      </c>
      <c r="R13" s="3" t="s">
        <v>292</v>
      </c>
      <c r="S13" s="3" t="s">
        <v>292</v>
      </c>
      <c r="T13" s="7" t="s">
        <v>1797</v>
      </c>
      <c r="W13" s="65" t="s">
        <v>299</v>
      </c>
      <c r="X13" s="66" t="s">
        <v>300</v>
      </c>
      <c r="Y13" s="66" t="s">
        <v>301</v>
      </c>
      <c r="Z13" s="66" t="s">
        <v>302</v>
      </c>
      <c r="AA13" s="67" t="s">
        <v>303</v>
      </c>
    </row>
    <row r="14" spans="1:27" ht="30.45" customHeight="1">
      <c r="A14" s="136" t="s">
        <v>304</v>
      </c>
      <c r="B14" s="41" t="s">
        <v>305</v>
      </c>
      <c r="C14" s="41"/>
      <c r="D14" s="41"/>
      <c r="E14" s="41"/>
      <c r="F14" s="3" t="s">
        <v>1798</v>
      </c>
      <c r="G14" s="3" t="s">
        <v>1799</v>
      </c>
      <c r="H14" s="3" t="s">
        <v>1800</v>
      </c>
      <c r="I14" s="3" t="s">
        <v>1799</v>
      </c>
      <c r="J14" s="3" t="s">
        <v>1801</v>
      </c>
      <c r="K14" s="3" t="s">
        <v>1802</v>
      </c>
      <c r="L14" s="3" t="s">
        <v>1801</v>
      </c>
      <c r="M14" s="3" t="s">
        <v>1799</v>
      </c>
      <c r="N14" s="3" t="s">
        <v>1799</v>
      </c>
      <c r="O14" s="3" t="s">
        <v>1803</v>
      </c>
      <c r="P14" s="3" t="s">
        <v>1800</v>
      </c>
      <c r="Q14" s="3" t="s">
        <v>1804</v>
      </c>
      <c r="R14" s="3" t="s">
        <v>1804</v>
      </c>
      <c r="S14" s="3" t="s">
        <v>1805</v>
      </c>
      <c r="T14" s="7" t="s">
        <v>1799</v>
      </c>
      <c r="W14" s="74">
        <v>1</v>
      </c>
      <c r="X14" s="76" t="s">
        <v>316</v>
      </c>
      <c r="Y14" s="69" t="s">
        <v>1806</v>
      </c>
      <c r="Z14" s="69" t="s">
        <v>1807</v>
      </c>
      <c r="AA14" s="78" t="s">
        <v>1738</v>
      </c>
    </row>
    <row r="15" spans="1:27" ht="30.45" customHeight="1">
      <c r="A15" s="136"/>
      <c r="B15" s="41" t="s">
        <v>319</v>
      </c>
      <c r="C15" s="41"/>
      <c r="D15" s="41"/>
      <c r="E15" s="41"/>
      <c r="F15" s="3" t="s">
        <v>1799</v>
      </c>
      <c r="G15" s="3" t="s">
        <v>1808</v>
      </c>
      <c r="H15" s="3" t="s">
        <v>1809</v>
      </c>
      <c r="I15" s="3" t="s">
        <v>1810</v>
      </c>
      <c r="J15" s="3" t="s">
        <v>1811</v>
      </c>
      <c r="K15" s="3" t="s">
        <v>1811</v>
      </c>
      <c r="L15" s="3" t="s">
        <v>1812</v>
      </c>
      <c r="M15" s="3" t="s">
        <v>1813</v>
      </c>
      <c r="N15" s="3" t="s">
        <v>1813</v>
      </c>
      <c r="O15" s="3" t="s">
        <v>1814</v>
      </c>
      <c r="P15" s="3" t="s">
        <v>1815</v>
      </c>
      <c r="Q15" s="3" t="s">
        <v>1816</v>
      </c>
      <c r="R15" s="3" t="s">
        <v>1817</v>
      </c>
      <c r="S15" s="3" t="s">
        <v>1818</v>
      </c>
      <c r="T15" s="7" t="s">
        <v>1808</v>
      </c>
      <c r="W15" s="74">
        <v>2</v>
      </c>
      <c r="X15" s="76" t="s">
        <v>316</v>
      </c>
      <c r="Y15" s="69" t="s">
        <v>1819</v>
      </c>
      <c r="Z15" s="69" t="s">
        <v>1820</v>
      </c>
      <c r="AA15" s="78" t="s">
        <v>1739</v>
      </c>
    </row>
    <row r="16" spans="1:27" ht="30.45" customHeight="1">
      <c r="A16" s="136"/>
      <c r="B16" s="41" t="s">
        <v>335</v>
      </c>
      <c r="C16" s="41"/>
      <c r="D16" s="41"/>
      <c r="E16" s="41"/>
      <c r="F16" s="3" t="s">
        <v>809</v>
      </c>
      <c r="G16" s="3" t="s">
        <v>947</v>
      </c>
      <c r="H16" s="3" t="s">
        <v>1821</v>
      </c>
      <c r="I16" s="3" t="s">
        <v>1473</v>
      </c>
      <c r="J16" s="3" t="s">
        <v>1822</v>
      </c>
      <c r="K16" s="3" t="s">
        <v>1808</v>
      </c>
      <c r="L16" s="3" t="s">
        <v>1823</v>
      </c>
      <c r="M16" s="3" t="s">
        <v>1474</v>
      </c>
      <c r="N16" s="3" t="s">
        <v>327</v>
      </c>
      <c r="O16" s="3" t="s">
        <v>1824</v>
      </c>
      <c r="P16" s="3" t="s">
        <v>1825</v>
      </c>
      <c r="Q16" s="3" t="s">
        <v>1474</v>
      </c>
      <c r="R16" s="3" t="s">
        <v>524</v>
      </c>
      <c r="S16" s="3" t="s">
        <v>1826</v>
      </c>
      <c r="T16" s="7" t="s">
        <v>1827</v>
      </c>
      <c r="W16" s="74">
        <v>3</v>
      </c>
      <c r="X16" s="76" t="s">
        <v>316</v>
      </c>
      <c r="Y16" s="69" t="s">
        <v>1828</v>
      </c>
      <c r="Z16" s="69" t="s">
        <v>1829</v>
      </c>
      <c r="AA16" s="78" t="s">
        <v>1740</v>
      </c>
    </row>
    <row r="17" spans="1:27" ht="30.45" customHeight="1">
      <c r="A17" s="136"/>
      <c r="B17" s="41" t="s">
        <v>346</v>
      </c>
      <c r="C17" s="41"/>
      <c r="D17" s="41"/>
      <c r="E17" s="41"/>
      <c r="F17" s="3" t="s">
        <v>947</v>
      </c>
      <c r="G17" s="3" t="s">
        <v>1830</v>
      </c>
      <c r="H17" s="3" t="s">
        <v>1808</v>
      </c>
      <c r="I17" s="3" t="s">
        <v>1831</v>
      </c>
      <c r="J17" s="3" t="s">
        <v>1808</v>
      </c>
      <c r="K17" s="3" t="s">
        <v>947</v>
      </c>
      <c r="L17" s="3" t="s">
        <v>1832</v>
      </c>
      <c r="M17" s="3" t="s">
        <v>292</v>
      </c>
      <c r="N17" s="3" t="s">
        <v>524</v>
      </c>
      <c r="O17" s="3" t="s">
        <v>1833</v>
      </c>
      <c r="P17" s="3" t="s">
        <v>292</v>
      </c>
      <c r="Q17" s="3" t="s">
        <v>292</v>
      </c>
      <c r="R17" s="3" t="s">
        <v>292</v>
      </c>
      <c r="S17" s="3" t="s">
        <v>1834</v>
      </c>
      <c r="T17" s="7" t="s">
        <v>1835</v>
      </c>
      <c r="W17" s="74">
        <v>4</v>
      </c>
      <c r="X17" s="76" t="s">
        <v>316</v>
      </c>
      <c r="Y17" s="69" t="s">
        <v>1836</v>
      </c>
      <c r="Z17" s="69" t="s">
        <v>1837</v>
      </c>
      <c r="AA17" s="78" t="s">
        <v>1741</v>
      </c>
    </row>
    <row r="18" spans="1:27" ht="30.45" customHeight="1">
      <c r="A18" s="136"/>
      <c r="B18" s="41" t="s">
        <v>302</v>
      </c>
      <c r="C18" s="41"/>
      <c r="D18" s="41"/>
      <c r="E18" s="41"/>
      <c r="F18" s="3" t="s">
        <v>1807</v>
      </c>
      <c r="G18" s="3" t="s">
        <v>1820</v>
      </c>
      <c r="H18" s="3" t="s">
        <v>1829</v>
      </c>
      <c r="I18" s="3" t="s">
        <v>1837</v>
      </c>
      <c r="J18" s="3" t="s">
        <v>1838</v>
      </c>
      <c r="K18" s="3" t="s">
        <v>1839</v>
      </c>
      <c r="L18" s="3" t="s">
        <v>1840</v>
      </c>
      <c r="M18" s="3" t="s">
        <v>1841</v>
      </c>
      <c r="N18" s="3" t="s">
        <v>1842</v>
      </c>
      <c r="O18" s="3" t="s">
        <v>1843</v>
      </c>
      <c r="P18" s="3" t="s">
        <v>1844</v>
      </c>
      <c r="Q18" s="3" t="s">
        <v>1845</v>
      </c>
      <c r="R18" s="3" t="s">
        <v>1846</v>
      </c>
      <c r="S18" s="3" t="s">
        <v>1847</v>
      </c>
      <c r="T18" s="7" t="s">
        <v>1848</v>
      </c>
      <c r="W18" s="74">
        <v>5</v>
      </c>
      <c r="X18" s="76" t="s">
        <v>316</v>
      </c>
      <c r="Y18" s="69" t="s">
        <v>1849</v>
      </c>
      <c r="Z18" s="69" t="s">
        <v>1838</v>
      </c>
      <c r="AA18" s="78" t="s">
        <v>1742</v>
      </c>
    </row>
    <row r="19" spans="1:27" ht="30.45" customHeight="1">
      <c r="A19" s="136"/>
      <c r="B19" s="41" t="s">
        <v>369</v>
      </c>
      <c r="C19" s="41"/>
      <c r="D19" s="41"/>
      <c r="E19" s="41"/>
      <c r="F19" s="3"/>
      <c r="G19" s="3"/>
      <c r="H19" s="3"/>
      <c r="I19" s="3"/>
      <c r="J19" s="3"/>
      <c r="K19" s="3"/>
      <c r="L19" s="3"/>
      <c r="M19" s="3"/>
      <c r="N19" s="3"/>
      <c r="O19" s="3"/>
      <c r="P19" s="3" t="s">
        <v>1850</v>
      </c>
      <c r="Q19" s="3" t="s">
        <v>1851</v>
      </c>
      <c r="R19" s="3" t="s">
        <v>1774</v>
      </c>
      <c r="S19" s="3" t="s">
        <v>1852</v>
      </c>
      <c r="T19" s="7" t="s">
        <v>1853</v>
      </c>
      <c r="W19" s="74">
        <v>6</v>
      </c>
      <c r="X19" s="76" t="s">
        <v>316</v>
      </c>
      <c r="Y19" s="69" t="s">
        <v>1854</v>
      </c>
      <c r="Z19" s="69" t="s">
        <v>1839</v>
      </c>
      <c r="AA19" s="78" t="s">
        <v>1743</v>
      </c>
    </row>
    <row r="20" spans="1:27" ht="30.45" customHeight="1">
      <c r="A20" s="136"/>
      <c r="B20" s="41" t="s">
        <v>378</v>
      </c>
      <c r="C20" s="41"/>
      <c r="D20" s="41"/>
      <c r="E20" s="41"/>
      <c r="F20" s="3" t="s">
        <v>1855</v>
      </c>
      <c r="G20" s="3" t="s">
        <v>1856</v>
      </c>
      <c r="H20" s="3" t="s">
        <v>1857</v>
      </c>
      <c r="I20" s="3" t="s">
        <v>1858</v>
      </c>
      <c r="J20" s="3" t="s">
        <v>1859</v>
      </c>
      <c r="K20" s="3" t="s">
        <v>1860</v>
      </c>
      <c r="L20" s="3" t="s">
        <v>851</v>
      </c>
      <c r="M20" s="3" t="s">
        <v>1861</v>
      </c>
      <c r="N20" s="3" t="s">
        <v>1862</v>
      </c>
      <c r="O20" s="3" t="s">
        <v>1863</v>
      </c>
      <c r="P20" s="3" t="s">
        <v>1864</v>
      </c>
      <c r="Q20" s="3" t="s">
        <v>1865</v>
      </c>
      <c r="R20" s="3" t="s">
        <v>1866</v>
      </c>
      <c r="S20" s="3" t="s">
        <v>1867</v>
      </c>
      <c r="T20" s="7" t="s">
        <v>1868</v>
      </c>
      <c r="W20" s="74">
        <v>7</v>
      </c>
      <c r="X20" s="76" t="s">
        <v>357</v>
      </c>
      <c r="Y20" s="69" t="s">
        <v>1869</v>
      </c>
      <c r="Z20" s="69" t="s">
        <v>1840</v>
      </c>
      <c r="AA20" s="78" t="s">
        <v>1744</v>
      </c>
    </row>
    <row r="21" spans="1:27" ht="30.45" customHeight="1">
      <c r="A21" s="136" t="s">
        <v>392</v>
      </c>
      <c r="B21" s="41" t="s">
        <v>393</v>
      </c>
      <c r="C21" s="41"/>
      <c r="D21" s="41"/>
      <c r="E21" s="41"/>
      <c r="F21" s="48" t="s">
        <v>184</v>
      </c>
      <c r="G21" s="48" t="s">
        <v>184</v>
      </c>
      <c r="H21" s="48" t="s">
        <v>184</v>
      </c>
      <c r="I21" s="48" t="s">
        <v>184</v>
      </c>
      <c r="J21" s="48" t="s">
        <v>184</v>
      </c>
      <c r="K21" s="48" t="s">
        <v>184</v>
      </c>
      <c r="L21" s="48" t="s">
        <v>186</v>
      </c>
      <c r="M21" s="48" t="s">
        <v>186</v>
      </c>
      <c r="N21" s="48" t="s">
        <v>186</v>
      </c>
      <c r="O21" s="48" t="s">
        <v>186</v>
      </c>
      <c r="P21" s="48" t="s">
        <v>185</v>
      </c>
      <c r="Q21" s="48" t="s">
        <v>185</v>
      </c>
      <c r="R21" s="48" t="s">
        <v>185</v>
      </c>
      <c r="S21" s="48" t="s">
        <v>185</v>
      </c>
      <c r="T21" s="49" t="s">
        <v>185</v>
      </c>
      <c r="W21" s="74">
        <v>8</v>
      </c>
      <c r="X21" s="76" t="s">
        <v>357</v>
      </c>
      <c r="Y21" s="69" t="s">
        <v>1870</v>
      </c>
      <c r="Z21" s="69" t="s">
        <v>1841</v>
      </c>
      <c r="AA21" s="78" t="s">
        <v>1745</v>
      </c>
    </row>
    <row r="22" spans="1:27" ht="19.2" customHeight="1">
      <c r="A22" s="136"/>
      <c r="B22" s="83" t="s">
        <v>395</v>
      </c>
      <c r="C22" s="84"/>
      <c r="D22" s="84"/>
      <c r="E22" s="85"/>
      <c r="F22" s="86"/>
      <c r="G22" s="87"/>
      <c r="H22" s="87"/>
      <c r="I22" s="87"/>
      <c r="J22" s="87"/>
      <c r="K22" s="87"/>
      <c r="L22" s="87"/>
      <c r="M22" s="87"/>
      <c r="N22" s="87"/>
      <c r="O22" s="87"/>
      <c r="P22" s="87"/>
      <c r="Q22" s="87"/>
      <c r="R22" s="87"/>
      <c r="S22" s="87"/>
      <c r="T22" s="88"/>
      <c r="W22" s="74">
        <v>9</v>
      </c>
      <c r="X22" s="76" t="s">
        <v>357</v>
      </c>
      <c r="Y22" s="69" t="s">
        <v>1871</v>
      </c>
      <c r="Z22" s="69" t="s">
        <v>1842</v>
      </c>
      <c r="AA22" s="78" t="s">
        <v>1746</v>
      </c>
    </row>
    <row r="23" spans="1:27" ht="30.45" customHeight="1">
      <c r="A23" s="136"/>
      <c r="B23" s="41" t="s">
        <v>397</v>
      </c>
      <c r="C23" s="41"/>
      <c r="D23" s="41"/>
      <c r="E23" s="41"/>
      <c r="F23" s="50"/>
      <c r="G23" s="50"/>
      <c r="H23" s="50"/>
      <c r="I23" s="50"/>
      <c r="J23" s="50"/>
      <c r="K23" s="50"/>
      <c r="L23" s="50"/>
      <c r="M23" s="50"/>
      <c r="N23" s="50"/>
      <c r="O23" s="50"/>
      <c r="P23" s="50"/>
      <c r="Q23" s="50"/>
      <c r="R23" s="50"/>
      <c r="S23" s="50"/>
      <c r="T23" s="51"/>
      <c r="W23" s="74">
        <v>10</v>
      </c>
      <c r="X23" s="76" t="s">
        <v>357</v>
      </c>
      <c r="Y23" s="69" t="s">
        <v>1872</v>
      </c>
      <c r="Z23" s="69" t="s">
        <v>1843</v>
      </c>
      <c r="AA23" s="78" t="s">
        <v>1747</v>
      </c>
    </row>
    <row r="24" spans="1:27" ht="30.45" customHeight="1">
      <c r="A24" s="137"/>
      <c r="B24" s="45" t="s">
        <v>399</v>
      </c>
      <c r="C24" s="45"/>
      <c r="D24" s="45"/>
      <c r="E24" s="45"/>
      <c r="F24" s="46"/>
      <c r="G24" s="46"/>
      <c r="H24" s="46"/>
      <c r="I24" s="46"/>
      <c r="J24" s="46"/>
      <c r="K24" s="46"/>
      <c r="L24" s="46"/>
      <c r="M24" s="46"/>
      <c r="N24" s="46"/>
      <c r="O24" s="46"/>
      <c r="P24" s="46"/>
      <c r="Q24" s="46"/>
      <c r="R24" s="46"/>
      <c r="S24" s="46"/>
      <c r="T24" s="47"/>
      <c r="W24" s="74">
        <v>11</v>
      </c>
      <c r="X24" s="76" t="s">
        <v>332</v>
      </c>
      <c r="Y24" s="69" t="s">
        <v>1873</v>
      </c>
      <c r="Z24" s="69" t="s">
        <v>1844</v>
      </c>
      <c r="AA24" s="78" t="s">
        <v>1748</v>
      </c>
    </row>
    <row r="25" spans="1:27" ht="30.45" customHeight="1">
      <c r="W25" s="74">
        <v>12</v>
      </c>
      <c r="X25" s="76" t="s">
        <v>332</v>
      </c>
      <c r="Y25" s="69" t="s">
        <v>1874</v>
      </c>
      <c r="Z25" s="69" t="s">
        <v>1845</v>
      </c>
      <c r="AA25" s="78" t="s">
        <v>1749</v>
      </c>
    </row>
    <row r="26" spans="1:27" ht="30.45" customHeight="1">
      <c r="W26" s="74">
        <v>13</v>
      </c>
      <c r="X26" s="76" t="s">
        <v>332</v>
      </c>
      <c r="Y26" s="69" t="s">
        <v>1875</v>
      </c>
      <c r="Z26" s="69" t="s">
        <v>1846</v>
      </c>
      <c r="AA26" s="78" t="s">
        <v>1750</v>
      </c>
    </row>
    <row r="27" spans="1:27" ht="30.45" customHeight="1">
      <c r="W27" s="74">
        <v>14</v>
      </c>
      <c r="X27" s="76" t="s">
        <v>332</v>
      </c>
      <c r="Y27" s="69" t="s">
        <v>1876</v>
      </c>
      <c r="Z27" s="69" t="s">
        <v>1847</v>
      </c>
      <c r="AA27" s="78" t="s">
        <v>1751</v>
      </c>
    </row>
    <row r="28" spans="1:27" ht="30.45" customHeight="1">
      <c r="W28" s="75">
        <v>15</v>
      </c>
      <c r="X28" s="77" t="s">
        <v>332</v>
      </c>
      <c r="Y28" s="72" t="s">
        <v>1877</v>
      </c>
      <c r="Z28" s="72" t="s">
        <v>1848</v>
      </c>
      <c r="AA28" s="79" t="s">
        <v>1752</v>
      </c>
    </row>
  </sheetData>
  <mergeCells count="34">
    <mergeCell ref="A21:A24"/>
    <mergeCell ref="W2:AA2"/>
    <mergeCell ref="W9:AA9"/>
    <mergeCell ref="W12:AA12"/>
    <mergeCell ref="K7:L7"/>
    <mergeCell ref="M7:N7"/>
    <mergeCell ref="O7:T7"/>
    <mergeCell ref="A10:A13"/>
    <mergeCell ref="A14:A20"/>
    <mergeCell ref="A7:B7"/>
    <mergeCell ref="C7:D7"/>
    <mergeCell ref="E7:F7"/>
    <mergeCell ref="G7:H7"/>
    <mergeCell ref="I7:J7"/>
    <mergeCell ref="A4:B4"/>
    <mergeCell ref="C4:T4"/>
    <mergeCell ref="A5:B5"/>
    <mergeCell ref="C5:T5"/>
    <mergeCell ref="A6:B6"/>
    <mergeCell ref="C6:D6"/>
    <mergeCell ref="E6:F6"/>
    <mergeCell ref="G6:H6"/>
    <mergeCell ref="I6:J6"/>
    <mergeCell ref="K6:L6"/>
    <mergeCell ref="M6:N6"/>
    <mergeCell ref="O6:T6"/>
    <mergeCell ref="A2:B2"/>
    <mergeCell ref="C2:D2"/>
    <mergeCell ref="F2:G2"/>
    <mergeCell ref="H2:T2"/>
    <mergeCell ref="A3:B3"/>
    <mergeCell ref="C3:D3"/>
    <mergeCell ref="F3:G3"/>
    <mergeCell ref="H3:T3"/>
  </mergeCells>
  <conditionalFormatting sqref="F22:T22">
    <cfRule type="expression" dxfId="23" priority="1">
      <formula>F22="Passed"</formula>
    </cfRule>
    <cfRule type="expression" dxfId="22" priority="2">
      <formula>F22="Failed"</formula>
    </cfRule>
    <cfRule type="expression" dxfId="21" priority="3">
      <formula>F22="Blocked"</formula>
    </cfRule>
  </conditionalFormatting>
  <dataValidations count="1">
    <dataValidation type="list" sqref="F22:T22" xr:uid="{00000000-0002-0000-0D00-000000000000}">
      <formula1>"Passed,Failed,Blocked"</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5"/>
  <sheetViews>
    <sheetView topLeftCell="G19" workbookViewId="0">
      <selection activeCell="M20" sqref="M20"/>
    </sheetView>
  </sheetViews>
  <sheetFormatPr defaultRowHeight="13.8"/>
  <cols>
    <col min="1" max="1" width="15" customWidth="1"/>
    <col min="2" max="5" width="16" customWidth="1"/>
    <col min="6" max="17" width="20" customWidth="1"/>
    <col min="23" max="24" width="20" customWidth="1"/>
    <col min="25" max="26" width="38" customWidth="1"/>
    <col min="27" max="27" width="16" customWidth="1"/>
  </cols>
  <sheetData>
    <row r="1" spans="1:27">
      <c r="A1" s="1"/>
      <c r="B1" s="1"/>
      <c r="C1" s="1"/>
      <c r="D1" s="1"/>
      <c r="E1" s="1"/>
      <c r="F1" s="1"/>
      <c r="G1" s="1"/>
      <c r="H1" s="1"/>
      <c r="I1" s="1"/>
      <c r="J1" s="1"/>
      <c r="K1" s="1"/>
      <c r="L1" s="1"/>
      <c r="M1" s="1"/>
      <c r="N1" s="1"/>
      <c r="O1" s="1"/>
      <c r="P1" s="1"/>
      <c r="Q1" s="1"/>
    </row>
    <row r="2" spans="1:27" ht="22.35" customHeight="1">
      <c r="A2" s="122" t="s">
        <v>199</v>
      </c>
      <c r="B2" s="123"/>
      <c r="C2" s="124" t="s">
        <v>131</v>
      </c>
      <c r="D2" s="124"/>
      <c r="E2" s="18"/>
      <c r="F2" s="123" t="s">
        <v>63</v>
      </c>
      <c r="G2" s="123"/>
      <c r="H2" s="124" t="s">
        <v>130</v>
      </c>
      <c r="I2" s="124"/>
      <c r="J2" s="124"/>
      <c r="K2" s="124"/>
      <c r="L2" s="124"/>
      <c r="M2" s="124"/>
      <c r="N2" s="124"/>
      <c r="O2" s="124"/>
      <c r="P2" s="124"/>
      <c r="Q2" s="125"/>
      <c r="W2" s="138" t="s">
        <v>200</v>
      </c>
      <c r="X2" s="138"/>
      <c r="Y2" s="138"/>
      <c r="Z2" s="138"/>
      <c r="AA2" s="138"/>
    </row>
    <row r="3" spans="1:27" ht="22.35" customHeight="1">
      <c r="A3" s="126" t="s">
        <v>201</v>
      </c>
      <c r="B3" s="127"/>
      <c r="C3" s="128" t="s">
        <v>37</v>
      </c>
      <c r="D3" s="128"/>
      <c r="E3" s="1"/>
      <c r="F3" s="127" t="s">
        <v>202</v>
      </c>
      <c r="G3" s="127"/>
      <c r="H3" s="128"/>
      <c r="I3" s="128"/>
      <c r="J3" s="128"/>
      <c r="K3" s="128"/>
      <c r="L3" s="128"/>
      <c r="M3" s="128"/>
      <c r="N3" s="128"/>
      <c r="O3" s="128"/>
      <c r="P3" s="128"/>
      <c r="Q3" s="129"/>
      <c r="W3" s="65" t="s">
        <v>203</v>
      </c>
      <c r="X3" s="66" t="s">
        <v>204</v>
      </c>
      <c r="Y3" s="66" t="s">
        <v>205</v>
      </c>
      <c r="Z3" s="66" t="s">
        <v>206</v>
      </c>
      <c r="AA3" s="67" t="s">
        <v>207</v>
      </c>
    </row>
    <row r="4" spans="1:27" ht="30.45" customHeight="1">
      <c r="A4" s="126" t="s">
        <v>208</v>
      </c>
      <c r="B4" s="127"/>
      <c r="C4" s="128" t="s">
        <v>1878</v>
      </c>
      <c r="D4" s="128"/>
      <c r="E4" s="128"/>
      <c r="F4" s="128"/>
      <c r="G4" s="128"/>
      <c r="H4" s="128"/>
      <c r="I4" s="128"/>
      <c r="J4" s="128"/>
      <c r="K4" s="128"/>
      <c r="L4" s="128"/>
      <c r="M4" s="128"/>
      <c r="N4" s="128"/>
      <c r="O4" s="128"/>
      <c r="P4" s="128"/>
      <c r="Q4" s="129"/>
      <c r="W4" s="68" t="s">
        <v>1879</v>
      </c>
      <c r="X4" s="69" t="s">
        <v>1880</v>
      </c>
      <c r="Y4" s="69" t="s">
        <v>1881</v>
      </c>
      <c r="Z4" s="69" t="s">
        <v>1882</v>
      </c>
      <c r="AA4" s="70" t="s">
        <v>1881</v>
      </c>
    </row>
    <row r="5" spans="1:27" ht="30.45" customHeight="1">
      <c r="A5" s="126" t="s">
        <v>215</v>
      </c>
      <c r="B5" s="127"/>
      <c r="C5" s="128" t="s">
        <v>128</v>
      </c>
      <c r="D5" s="128"/>
      <c r="E5" s="128"/>
      <c r="F5" s="128"/>
      <c r="G5" s="128"/>
      <c r="H5" s="128"/>
      <c r="I5" s="128"/>
      <c r="J5" s="128"/>
      <c r="K5" s="128"/>
      <c r="L5" s="128"/>
      <c r="M5" s="128"/>
      <c r="N5" s="128"/>
      <c r="O5" s="128"/>
      <c r="P5" s="128"/>
      <c r="Q5" s="129"/>
      <c r="W5" s="68" t="s">
        <v>1883</v>
      </c>
      <c r="X5" s="69" t="s">
        <v>1884</v>
      </c>
      <c r="Y5" s="69" t="s">
        <v>1885</v>
      </c>
      <c r="Z5" s="69" t="s">
        <v>1886</v>
      </c>
      <c r="AA5" s="70" t="s">
        <v>1887</v>
      </c>
    </row>
    <row r="6" spans="1:27" ht="30.45" customHeight="1">
      <c r="A6" s="130" t="s">
        <v>173</v>
      </c>
      <c r="B6" s="131"/>
      <c r="C6" s="131" t="s">
        <v>174</v>
      </c>
      <c r="D6" s="131"/>
      <c r="E6" s="131" t="s">
        <v>175</v>
      </c>
      <c r="F6" s="131"/>
      <c r="G6" s="131" t="s">
        <v>180</v>
      </c>
      <c r="H6" s="131"/>
      <c r="I6" s="131" t="s">
        <v>184</v>
      </c>
      <c r="J6" s="131"/>
      <c r="K6" s="131" t="s">
        <v>185</v>
      </c>
      <c r="L6" s="131"/>
      <c r="M6" s="131" t="s">
        <v>186</v>
      </c>
      <c r="N6" s="131"/>
      <c r="O6" s="131" t="s">
        <v>187</v>
      </c>
      <c r="P6" s="131"/>
      <c r="Q6" s="132"/>
      <c r="W6" s="68" t="s">
        <v>1888</v>
      </c>
      <c r="X6" s="69" t="s">
        <v>1051</v>
      </c>
      <c r="Y6" s="69" t="s">
        <v>1052</v>
      </c>
      <c r="Z6" s="69" t="s">
        <v>1085</v>
      </c>
      <c r="AA6" s="70" t="s">
        <v>1889</v>
      </c>
    </row>
    <row r="7" spans="1:27" ht="30.45" customHeight="1">
      <c r="A7" s="133">
        <f>COUNTIF(F22:Q22,"Passed")</f>
        <v>0</v>
      </c>
      <c r="B7" s="134"/>
      <c r="C7" s="134">
        <f>COUNTIF(F22:Q22,"Failed")</f>
        <v>0</v>
      </c>
      <c r="D7" s="134"/>
      <c r="E7" s="134">
        <f>COUNTIF(F22:Q22,"Blocked")</f>
        <v>0</v>
      </c>
      <c r="F7" s="134"/>
      <c r="G7" s="134">
        <f>12-A7-C7-E7</f>
        <v>12</v>
      </c>
      <c r="H7" s="134"/>
      <c r="I7" s="134">
        <f>COUNTIF(F21:Q21,"N")</f>
        <v>4</v>
      </c>
      <c r="J7" s="134"/>
      <c r="K7" s="134">
        <f>COUNTIF(F21:Q21,"A")</f>
        <v>7</v>
      </c>
      <c r="L7" s="134"/>
      <c r="M7" s="134">
        <f>COUNTIF(F21:Q21,"B")</f>
        <v>1</v>
      </c>
      <c r="N7" s="134"/>
      <c r="O7" s="134">
        <v>12</v>
      </c>
      <c r="P7" s="134"/>
      <c r="Q7" s="135"/>
      <c r="W7" s="68" t="s">
        <v>1725</v>
      </c>
      <c r="X7" s="69" t="s">
        <v>1726</v>
      </c>
      <c r="Y7" s="69" t="s">
        <v>1890</v>
      </c>
      <c r="Z7" s="69" t="s">
        <v>1891</v>
      </c>
      <c r="AA7" s="70" t="s">
        <v>1892</v>
      </c>
    </row>
    <row r="8" spans="1:27" ht="30.45" customHeight="1">
      <c r="A8" s="1"/>
      <c r="B8" s="1"/>
      <c r="C8" s="1"/>
      <c r="D8" s="1"/>
      <c r="E8" s="1"/>
      <c r="F8" s="1"/>
      <c r="G8" s="1"/>
      <c r="H8" s="1"/>
      <c r="I8" s="1"/>
      <c r="J8" s="1"/>
      <c r="K8" s="1"/>
      <c r="L8" s="1"/>
      <c r="M8" s="1"/>
      <c r="N8" s="1"/>
      <c r="O8" s="1"/>
      <c r="P8" s="1"/>
      <c r="Q8" s="1"/>
      <c r="W8" s="71" t="s">
        <v>1893</v>
      </c>
      <c r="X8" s="72" t="s">
        <v>1894</v>
      </c>
      <c r="Y8" s="72" t="s">
        <v>1895</v>
      </c>
      <c r="Z8" s="72" t="s">
        <v>1896</v>
      </c>
      <c r="AA8" s="73" t="s">
        <v>1897</v>
      </c>
    </row>
    <row r="9" spans="1:27" ht="35.25" customHeight="1">
      <c r="A9" s="42"/>
      <c r="B9" s="43"/>
      <c r="C9" s="43"/>
      <c r="D9" s="43"/>
      <c r="E9" s="43"/>
      <c r="F9" s="43" t="s">
        <v>1898</v>
      </c>
      <c r="G9" s="43" t="s">
        <v>1899</v>
      </c>
      <c r="H9" s="43" t="s">
        <v>1900</v>
      </c>
      <c r="I9" s="43" t="s">
        <v>1901</v>
      </c>
      <c r="J9" s="43" t="s">
        <v>1902</v>
      </c>
      <c r="K9" s="43" t="s">
        <v>1903</v>
      </c>
      <c r="L9" s="43" t="s">
        <v>1904</v>
      </c>
      <c r="M9" s="43" t="s">
        <v>1905</v>
      </c>
      <c r="N9" s="43" t="s">
        <v>1906</v>
      </c>
      <c r="O9" s="43" t="s">
        <v>1907</v>
      </c>
      <c r="P9" s="43" t="s">
        <v>1908</v>
      </c>
      <c r="Q9" s="44" t="s">
        <v>1909</v>
      </c>
      <c r="W9" s="139" t="s">
        <v>247</v>
      </c>
      <c r="X9" s="140"/>
      <c r="Y9" s="140"/>
      <c r="Z9" s="140"/>
      <c r="AA9" s="141"/>
    </row>
    <row r="10" spans="1:27" ht="38.4" customHeight="1">
      <c r="A10" s="136" t="s">
        <v>248</v>
      </c>
      <c r="B10" s="41" t="s">
        <v>249</v>
      </c>
      <c r="C10" s="41"/>
      <c r="D10" s="41"/>
      <c r="E10" s="41"/>
      <c r="F10" s="3" t="s">
        <v>1910</v>
      </c>
      <c r="G10" s="3" t="s">
        <v>1911</v>
      </c>
      <c r="H10" s="3" t="s">
        <v>1912</v>
      </c>
      <c r="I10" s="3" t="s">
        <v>1913</v>
      </c>
      <c r="J10" s="3" t="s">
        <v>1914</v>
      </c>
      <c r="K10" s="3" t="s">
        <v>1915</v>
      </c>
      <c r="L10" s="3" t="s">
        <v>1916</v>
      </c>
      <c r="M10" s="3" t="s">
        <v>1917</v>
      </c>
      <c r="N10" s="3" t="s">
        <v>1918</v>
      </c>
      <c r="O10" s="3" t="s">
        <v>1919</v>
      </c>
      <c r="P10" s="3" t="s">
        <v>1920</v>
      </c>
      <c r="Q10" s="7" t="s">
        <v>1921</v>
      </c>
    </row>
    <row r="11" spans="1:27" ht="35.25" customHeight="1">
      <c r="A11" s="136"/>
      <c r="B11" s="41" t="s">
        <v>261</v>
      </c>
      <c r="C11" s="41"/>
      <c r="D11" s="41"/>
      <c r="E11" s="41"/>
      <c r="F11" s="3" t="s">
        <v>1922</v>
      </c>
      <c r="G11" s="3" t="s">
        <v>1923</v>
      </c>
      <c r="H11" s="3" t="s">
        <v>1769</v>
      </c>
      <c r="I11" s="3" t="s">
        <v>1769</v>
      </c>
      <c r="J11" s="3" t="s">
        <v>1924</v>
      </c>
      <c r="K11" s="3" t="s">
        <v>1924</v>
      </c>
      <c r="L11" s="3" t="s">
        <v>1924</v>
      </c>
      <c r="M11" s="3" t="s">
        <v>1772</v>
      </c>
      <c r="N11" s="3" t="s">
        <v>1925</v>
      </c>
      <c r="O11" s="3" t="s">
        <v>1926</v>
      </c>
      <c r="P11" s="3" t="s">
        <v>613</v>
      </c>
      <c r="Q11" s="7" t="s">
        <v>1927</v>
      </c>
    </row>
    <row r="12" spans="1:27" ht="22.35" customHeight="1">
      <c r="A12" s="136"/>
      <c r="B12" s="41" t="s">
        <v>274</v>
      </c>
      <c r="C12" s="41"/>
      <c r="D12" s="41"/>
      <c r="E12" s="41"/>
      <c r="F12" s="3" t="s">
        <v>915</v>
      </c>
      <c r="G12" s="3" t="s">
        <v>1928</v>
      </c>
      <c r="H12" s="3" t="s">
        <v>1929</v>
      </c>
      <c r="I12" s="3" t="s">
        <v>1930</v>
      </c>
      <c r="J12" s="3" t="s">
        <v>1931</v>
      </c>
      <c r="K12" s="3" t="s">
        <v>1932</v>
      </c>
      <c r="L12" s="3" t="s">
        <v>1928</v>
      </c>
      <c r="M12" s="3" t="s">
        <v>1787</v>
      </c>
      <c r="N12" s="3" t="s">
        <v>1788</v>
      </c>
      <c r="O12" s="3" t="s">
        <v>1789</v>
      </c>
      <c r="P12" s="3" t="s">
        <v>1933</v>
      </c>
      <c r="Q12" s="7" t="s">
        <v>1928</v>
      </c>
      <c r="W12" s="138" t="s">
        <v>287</v>
      </c>
      <c r="X12" s="138"/>
      <c r="Y12" s="138"/>
      <c r="Z12" s="138"/>
      <c r="AA12" s="138"/>
    </row>
    <row r="13" spans="1:27" ht="22.35" customHeight="1">
      <c r="A13" s="136"/>
      <c r="B13" s="41" t="s">
        <v>288</v>
      </c>
      <c r="C13" s="41"/>
      <c r="D13" s="41"/>
      <c r="E13" s="41"/>
      <c r="F13" s="3" t="s">
        <v>1934</v>
      </c>
      <c r="G13" s="3" t="s">
        <v>1935</v>
      </c>
      <c r="H13" s="3" t="s">
        <v>1936</v>
      </c>
      <c r="I13" s="3" t="s">
        <v>1935</v>
      </c>
      <c r="J13" s="3" t="s">
        <v>1935</v>
      </c>
      <c r="K13" s="3" t="s">
        <v>1935</v>
      </c>
      <c r="L13" s="3" t="s">
        <v>1937</v>
      </c>
      <c r="M13" s="3" t="s">
        <v>292</v>
      </c>
      <c r="N13" s="3" t="s">
        <v>292</v>
      </c>
      <c r="O13" s="3" t="s">
        <v>292</v>
      </c>
      <c r="P13" s="3" t="s">
        <v>292</v>
      </c>
      <c r="Q13" s="7" t="s">
        <v>1938</v>
      </c>
      <c r="W13" s="65" t="s">
        <v>299</v>
      </c>
      <c r="X13" s="66" t="s">
        <v>300</v>
      </c>
      <c r="Y13" s="66" t="s">
        <v>301</v>
      </c>
      <c r="Z13" s="66" t="s">
        <v>302</v>
      </c>
      <c r="AA13" s="67" t="s">
        <v>303</v>
      </c>
    </row>
    <row r="14" spans="1:27" ht="30.45" customHeight="1">
      <c r="A14" s="136" t="s">
        <v>304</v>
      </c>
      <c r="B14" s="41" t="s">
        <v>305</v>
      </c>
      <c r="C14" s="41"/>
      <c r="D14" s="41"/>
      <c r="E14" s="41"/>
      <c r="F14" s="3" t="s">
        <v>803</v>
      </c>
      <c r="G14" s="3" t="s">
        <v>1939</v>
      </c>
      <c r="H14" s="3" t="s">
        <v>1940</v>
      </c>
      <c r="I14" s="3" t="s">
        <v>1941</v>
      </c>
      <c r="J14" s="3" t="s">
        <v>1942</v>
      </c>
      <c r="K14" s="3" t="s">
        <v>1942</v>
      </c>
      <c r="L14" s="3" t="s">
        <v>1942</v>
      </c>
      <c r="M14" s="3" t="s">
        <v>1943</v>
      </c>
      <c r="N14" s="3" t="s">
        <v>1943</v>
      </c>
      <c r="O14" s="3" t="s">
        <v>1943</v>
      </c>
      <c r="P14" s="3" t="s">
        <v>1633</v>
      </c>
      <c r="Q14" s="7" t="s">
        <v>1944</v>
      </c>
      <c r="W14" s="74">
        <v>1</v>
      </c>
      <c r="X14" s="76" t="s">
        <v>316</v>
      </c>
      <c r="Y14" s="69" t="s">
        <v>1945</v>
      </c>
      <c r="Z14" s="69" t="s">
        <v>1946</v>
      </c>
      <c r="AA14" s="78" t="s">
        <v>1898</v>
      </c>
    </row>
    <row r="15" spans="1:27" ht="30.45" customHeight="1">
      <c r="A15" s="136"/>
      <c r="B15" s="41" t="s">
        <v>319</v>
      </c>
      <c r="C15" s="41"/>
      <c r="D15" s="41"/>
      <c r="E15" s="41"/>
      <c r="F15" s="3" t="s">
        <v>1943</v>
      </c>
      <c r="G15" s="3" t="s">
        <v>1947</v>
      </c>
      <c r="H15" s="3" t="s">
        <v>1941</v>
      </c>
      <c r="I15" s="3" t="s">
        <v>1948</v>
      </c>
      <c r="J15" s="3" t="s">
        <v>336</v>
      </c>
      <c r="K15" s="3" t="s">
        <v>524</v>
      </c>
      <c r="L15" s="3" t="s">
        <v>524</v>
      </c>
      <c r="M15" s="3" t="s">
        <v>524</v>
      </c>
      <c r="N15" s="3" t="s">
        <v>524</v>
      </c>
      <c r="O15" s="3" t="s">
        <v>524</v>
      </c>
      <c r="P15" s="3" t="s">
        <v>1943</v>
      </c>
      <c r="Q15" s="7" t="s">
        <v>644</v>
      </c>
      <c r="W15" s="74">
        <v>2</v>
      </c>
      <c r="X15" s="76" t="s">
        <v>316</v>
      </c>
      <c r="Y15" s="69" t="s">
        <v>1949</v>
      </c>
      <c r="Z15" s="69" t="s">
        <v>1950</v>
      </c>
      <c r="AA15" s="78" t="s">
        <v>1899</v>
      </c>
    </row>
    <row r="16" spans="1:27" ht="30.45" customHeight="1">
      <c r="A16" s="136"/>
      <c r="B16" s="41" t="s">
        <v>335</v>
      </c>
      <c r="C16" s="41"/>
      <c r="D16" s="41"/>
      <c r="E16" s="41"/>
      <c r="F16" s="3" t="s">
        <v>1951</v>
      </c>
      <c r="G16" s="3" t="s">
        <v>1941</v>
      </c>
      <c r="H16" s="3" t="s">
        <v>1952</v>
      </c>
      <c r="I16" s="3" t="s">
        <v>1953</v>
      </c>
      <c r="J16" s="3" t="s">
        <v>1865</v>
      </c>
      <c r="K16" s="3" t="s">
        <v>292</v>
      </c>
      <c r="L16" s="3" t="s">
        <v>292</v>
      </c>
      <c r="M16" s="3" t="s">
        <v>1954</v>
      </c>
      <c r="N16" s="3" t="s">
        <v>292</v>
      </c>
      <c r="O16" s="3" t="s">
        <v>292</v>
      </c>
      <c r="P16" s="3" t="s">
        <v>1955</v>
      </c>
      <c r="Q16" s="7" t="s">
        <v>1956</v>
      </c>
      <c r="W16" s="74">
        <v>3</v>
      </c>
      <c r="X16" s="76" t="s">
        <v>316</v>
      </c>
      <c r="Y16" s="69" t="s">
        <v>1957</v>
      </c>
      <c r="Z16" s="69" t="s">
        <v>1958</v>
      </c>
      <c r="AA16" s="78" t="s">
        <v>1900</v>
      </c>
    </row>
    <row r="17" spans="1:27" ht="30.45" customHeight="1">
      <c r="A17" s="136"/>
      <c r="B17" s="41" t="s">
        <v>346</v>
      </c>
      <c r="C17" s="41"/>
      <c r="D17" s="41"/>
      <c r="E17" s="41"/>
      <c r="F17" s="3" t="s">
        <v>292</v>
      </c>
      <c r="G17" s="3" t="s">
        <v>1948</v>
      </c>
      <c r="H17" s="3" t="s">
        <v>1959</v>
      </c>
      <c r="I17" s="3" t="s">
        <v>1960</v>
      </c>
      <c r="J17" s="3" t="s">
        <v>292</v>
      </c>
      <c r="K17" s="3" t="s">
        <v>292</v>
      </c>
      <c r="L17" s="3" t="s">
        <v>292</v>
      </c>
      <c r="M17" s="3" t="s">
        <v>292</v>
      </c>
      <c r="N17" s="3" t="s">
        <v>292</v>
      </c>
      <c r="O17" s="3" t="s">
        <v>292</v>
      </c>
      <c r="P17" s="3" t="s">
        <v>524</v>
      </c>
      <c r="Q17" s="7" t="s">
        <v>1961</v>
      </c>
      <c r="W17" s="74">
        <v>4</v>
      </c>
      <c r="X17" s="76" t="s">
        <v>357</v>
      </c>
      <c r="Y17" s="69" t="s">
        <v>1962</v>
      </c>
      <c r="Z17" s="69" t="s">
        <v>1963</v>
      </c>
      <c r="AA17" s="78" t="s">
        <v>1901</v>
      </c>
    </row>
    <row r="18" spans="1:27" ht="30.45" customHeight="1">
      <c r="A18" s="136"/>
      <c r="B18" s="41" t="s">
        <v>302</v>
      </c>
      <c r="C18" s="41"/>
      <c r="D18" s="41"/>
      <c r="E18" s="41"/>
      <c r="F18" s="3" t="s">
        <v>1946</v>
      </c>
      <c r="G18" s="3" t="s">
        <v>1950</v>
      </c>
      <c r="H18" s="3" t="s">
        <v>1958</v>
      </c>
      <c r="I18" s="3" t="s">
        <v>1963</v>
      </c>
      <c r="J18" s="3" t="s">
        <v>1964</v>
      </c>
      <c r="K18" s="3" t="s">
        <v>1964</v>
      </c>
      <c r="L18" s="3" t="s">
        <v>1964</v>
      </c>
      <c r="M18" s="3" t="s">
        <v>1965</v>
      </c>
      <c r="N18" s="3" t="s">
        <v>1966</v>
      </c>
      <c r="O18" s="3" t="s">
        <v>1967</v>
      </c>
      <c r="P18" s="3" t="s">
        <v>1968</v>
      </c>
      <c r="Q18" s="7" t="s">
        <v>1969</v>
      </c>
      <c r="W18" s="74">
        <v>5</v>
      </c>
      <c r="X18" s="76" t="s">
        <v>332</v>
      </c>
      <c r="Y18" s="69" t="s">
        <v>1970</v>
      </c>
      <c r="Z18" s="69" t="s">
        <v>1964</v>
      </c>
      <c r="AA18" s="78" t="s">
        <v>1902</v>
      </c>
    </row>
    <row r="19" spans="1:27" ht="30.45" customHeight="1">
      <c r="A19" s="136"/>
      <c r="B19" s="41" t="s">
        <v>369</v>
      </c>
      <c r="C19" s="41"/>
      <c r="D19" s="41"/>
      <c r="E19" s="41"/>
      <c r="F19" s="3"/>
      <c r="G19" s="3"/>
      <c r="H19" s="3"/>
      <c r="I19" s="3"/>
      <c r="J19" s="3" t="s">
        <v>1971</v>
      </c>
      <c r="K19" s="3" t="s">
        <v>1972</v>
      </c>
      <c r="L19" s="3" t="s">
        <v>1973</v>
      </c>
      <c r="M19" s="3" t="s">
        <v>1787</v>
      </c>
      <c r="N19" s="3" t="s">
        <v>1788</v>
      </c>
      <c r="O19" s="3" t="s">
        <v>1789</v>
      </c>
      <c r="P19" s="3" t="s">
        <v>541</v>
      </c>
      <c r="Q19" s="7"/>
      <c r="W19" s="74">
        <v>6</v>
      </c>
      <c r="X19" s="76" t="s">
        <v>332</v>
      </c>
      <c r="Y19" s="69" t="s">
        <v>1974</v>
      </c>
      <c r="Z19" s="69" t="s">
        <v>1964</v>
      </c>
      <c r="AA19" s="78" t="s">
        <v>1903</v>
      </c>
    </row>
    <row r="20" spans="1:27" ht="30.45" customHeight="1">
      <c r="A20" s="136"/>
      <c r="B20" s="41" t="s">
        <v>378</v>
      </c>
      <c r="C20" s="41"/>
      <c r="D20" s="41"/>
      <c r="E20" s="41"/>
      <c r="F20" s="3" t="s">
        <v>1975</v>
      </c>
      <c r="G20" s="3" t="s">
        <v>1976</v>
      </c>
      <c r="H20" s="3" t="s">
        <v>1977</v>
      </c>
      <c r="I20" s="3" t="s">
        <v>1978</v>
      </c>
      <c r="J20" s="3" t="s">
        <v>1979</v>
      </c>
      <c r="K20" s="3" t="s">
        <v>1980</v>
      </c>
      <c r="L20" s="3" t="s">
        <v>1980</v>
      </c>
      <c r="M20" s="3" t="s">
        <v>1981</v>
      </c>
      <c r="N20" s="3" t="s">
        <v>1981</v>
      </c>
      <c r="O20" s="3" t="s">
        <v>1980</v>
      </c>
      <c r="P20" s="3" t="s">
        <v>1982</v>
      </c>
      <c r="Q20" s="7" t="s">
        <v>1983</v>
      </c>
      <c r="W20" s="74">
        <v>7</v>
      </c>
      <c r="X20" s="76" t="s">
        <v>332</v>
      </c>
      <c r="Y20" s="69" t="s">
        <v>1984</v>
      </c>
      <c r="Z20" s="69" t="s">
        <v>1964</v>
      </c>
      <c r="AA20" s="78" t="s">
        <v>1904</v>
      </c>
    </row>
    <row r="21" spans="1:27" ht="30.45" customHeight="1">
      <c r="A21" s="136" t="s">
        <v>392</v>
      </c>
      <c r="B21" s="41" t="s">
        <v>393</v>
      </c>
      <c r="C21" s="41"/>
      <c r="D21" s="41"/>
      <c r="E21" s="41"/>
      <c r="F21" s="48" t="s">
        <v>184</v>
      </c>
      <c r="G21" s="48" t="s">
        <v>184</v>
      </c>
      <c r="H21" s="48" t="s">
        <v>184</v>
      </c>
      <c r="I21" s="48" t="s">
        <v>186</v>
      </c>
      <c r="J21" s="48" t="s">
        <v>185</v>
      </c>
      <c r="K21" s="48" t="s">
        <v>185</v>
      </c>
      <c r="L21" s="48" t="s">
        <v>185</v>
      </c>
      <c r="M21" s="48" t="s">
        <v>185</v>
      </c>
      <c r="N21" s="48" t="s">
        <v>185</v>
      </c>
      <c r="O21" s="48" t="s">
        <v>185</v>
      </c>
      <c r="P21" s="48" t="s">
        <v>185</v>
      </c>
      <c r="Q21" s="49" t="s">
        <v>184</v>
      </c>
      <c r="W21" s="74">
        <v>8</v>
      </c>
      <c r="X21" s="76" t="s">
        <v>332</v>
      </c>
      <c r="Y21" s="69" t="s">
        <v>1873</v>
      </c>
      <c r="Z21" s="69" t="s">
        <v>1965</v>
      </c>
      <c r="AA21" s="78" t="s">
        <v>1905</v>
      </c>
    </row>
    <row r="22" spans="1:27" ht="19.2" customHeight="1">
      <c r="A22" s="136"/>
      <c r="B22" s="83" t="s">
        <v>395</v>
      </c>
      <c r="C22" s="84"/>
      <c r="D22" s="84"/>
      <c r="E22" s="85"/>
      <c r="F22" s="86"/>
      <c r="G22" s="87"/>
      <c r="H22" s="87"/>
      <c r="I22" s="87"/>
      <c r="J22" s="87"/>
      <c r="K22" s="87"/>
      <c r="L22" s="87"/>
      <c r="M22" s="87"/>
      <c r="N22" s="87"/>
      <c r="O22" s="87"/>
      <c r="P22" s="87"/>
      <c r="Q22" s="88"/>
      <c r="W22" s="74">
        <v>9</v>
      </c>
      <c r="X22" s="76" t="s">
        <v>332</v>
      </c>
      <c r="Y22" s="69" t="s">
        <v>1874</v>
      </c>
      <c r="Z22" s="69" t="s">
        <v>1966</v>
      </c>
      <c r="AA22" s="78" t="s">
        <v>1906</v>
      </c>
    </row>
    <row r="23" spans="1:27" ht="30.45" customHeight="1">
      <c r="A23" s="136"/>
      <c r="B23" s="41" t="s">
        <v>397</v>
      </c>
      <c r="C23" s="41"/>
      <c r="D23" s="41"/>
      <c r="E23" s="41"/>
      <c r="F23" s="50"/>
      <c r="G23" s="50"/>
      <c r="H23" s="50"/>
      <c r="I23" s="50"/>
      <c r="J23" s="50"/>
      <c r="K23" s="50"/>
      <c r="L23" s="50"/>
      <c r="M23" s="50"/>
      <c r="N23" s="50"/>
      <c r="O23" s="50"/>
      <c r="P23" s="50"/>
      <c r="Q23" s="51"/>
      <c r="W23" s="74">
        <v>10</v>
      </c>
      <c r="X23" s="76" t="s">
        <v>332</v>
      </c>
      <c r="Y23" s="69" t="s">
        <v>1875</v>
      </c>
      <c r="Z23" s="69" t="s">
        <v>1967</v>
      </c>
      <c r="AA23" s="78" t="s">
        <v>1907</v>
      </c>
    </row>
    <row r="24" spans="1:27" ht="30.45" customHeight="1">
      <c r="A24" s="137"/>
      <c r="B24" s="45" t="s">
        <v>399</v>
      </c>
      <c r="C24" s="45"/>
      <c r="D24" s="45"/>
      <c r="E24" s="45"/>
      <c r="F24" s="46"/>
      <c r="G24" s="46"/>
      <c r="H24" s="46"/>
      <c r="I24" s="46"/>
      <c r="J24" s="46"/>
      <c r="K24" s="46"/>
      <c r="L24" s="46"/>
      <c r="M24" s="46"/>
      <c r="N24" s="46"/>
      <c r="O24" s="46"/>
      <c r="P24" s="46"/>
      <c r="Q24" s="47"/>
      <c r="W24" s="74">
        <v>11</v>
      </c>
      <c r="X24" s="76" t="s">
        <v>332</v>
      </c>
      <c r="Y24" s="69" t="s">
        <v>1985</v>
      </c>
      <c r="Z24" s="69" t="s">
        <v>1968</v>
      </c>
      <c r="AA24" s="78" t="s">
        <v>1908</v>
      </c>
    </row>
    <row r="25" spans="1:27" ht="30.45" customHeight="1">
      <c r="W25" s="75">
        <v>12</v>
      </c>
      <c r="X25" s="77" t="s">
        <v>316</v>
      </c>
      <c r="Y25" s="72" t="s">
        <v>1986</v>
      </c>
      <c r="Z25" s="72" t="s">
        <v>1969</v>
      </c>
      <c r="AA25" s="79" t="s">
        <v>1909</v>
      </c>
    </row>
  </sheetData>
  <mergeCells count="34">
    <mergeCell ref="A21:A24"/>
    <mergeCell ref="W2:AA2"/>
    <mergeCell ref="W9:AA9"/>
    <mergeCell ref="W12:AA12"/>
    <mergeCell ref="K7:L7"/>
    <mergeCell ref="M7:N7"/>
    <mergeCell ref="O7:Q7"/>
    <mergeCell ref="A10:A13"/>
    <mergeCell ref="A14:A20"/>
    <mergeCell ref="A7:B7"/>
    <mergeCell ref="C7:D7"/>
    <mergeCell ref="E7:F7"/>
    <mergeCell ref="G7:H7"/>
    <mergeCell ref="I7:J7"/>
    <mergeCell ref="A4:B4"/>
    <mergeCell ref="C4:Q4"/>
    <mergeCell ref="A5:B5"/>
    <mergeCell ref="C5:Q5"/>
    <mergeCell ref="A6:B6"/>
    <mergeCell ref="C6:D6"/>
    <mergeCell ref="E6:F6"/>
    <mergeCell ref="G6:H6"/>
    <mergeCell ref="I6:J6"/>
    <mergeCell ref="K6:L6"/>
    <mergeCell ref="M6:N6"/>
    <mergeCell ref="O6:Q6"/>
    <mergeCell ref="A2:B2"/>
    <mergeCell ref="C2:D2"/>
    <mergeCell ref="F2:G2"/>
    <mergeCell ref="H2:Q2"/>
    <mergeCell ref="A3:B3"/>
    <mergeCell ref="C3:D3"/>
    <mergeCell ref="F3:G3"/>
    <mergeCell ref="H3:Q3"/>
  </mergeCells>
  <conditionalFormatting sqref="F22:Q22">
    <cfRule type="expression" dxfId="20" priority="1">
      <formula>F22="Passed"</formula>
    </cfRule>
    <cfRule type="expression" dxfId="19" priority="2">
      <formula>F22="Failed"</formula>
    </cfRule>
    <cfRule type="expression" dxfId="18" priority="3">
      <formula>F22="Blocked"</formula>
    </cfRule>
  </conditionalFormatting>
  <dataValidations count="1">
    <dataValidation type="list" sqref="F22:Q22" xr:uid="{00000000-0002-0000-0E00-000000000000}">
      <formula1>"Passed,Failed,Blocked"</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A25"/>
  <sheetViews>
    <sheetView topLeftCell="A13" workbookViewId="0"/>
  </sheetViews>
  <sheetFormatPr defaultRowHeight="13.8"/>
  <cols>
    <col min="1" max="1" width="15" customWidth="1"/>
    <col min="2" max="5" width="16" customWidth="1"/>
    <col min="6" max="17" width="20" customWidth="1"/>
    <col min="23" max="24" width="20" customWidth="1"/>
    <col min="25" max="26" width="38" customWidth="1"/>
    <col min="27" max="27" width="16" customWidth="1"/>
  </cols>
  <sheetData>
    <row r="1" spans="1:27">
      <c r="A1" s="1"/>
      <c r="B1" s="1"/>
      <c r="C1" s="1"/>
      <c r="D1" s="1"/>
      <c r="E1" s="1"/>
      <c r="F1" s="1"/>
      <c r="G1" s="1"/>
      <c r="H1" s="1"/>
      <c r="I1" s="1"/>
      <c r="J1" s="1"/>
      <c r="K1" s="1"/>
      <c r="L1" s="1"/>
      <c r="M1" s="1"/>
      <c r="N1" s="1"/>
      <c r="O1" s="1"/>
      <c r="P1" s="1"/>
      <c r="Q1" s="1"/>
    </row>
    <row r="2" spans="1:27" ht="22.35" customHeight="1">
      <c r="A2" s="122" t="s">
        <v>199</v>
      </c>
      <c r="B2" s="123"/>
      <c r="C2" s="124" t="s">
        <v>137</v>
      </c>
      <c r="D2" s="124"/>
      <c r="E2" s="18"/>
      <c r="F2" s="123" t="s">
        <v>63</v>
      </c>
      <c r="G2" s="123"/>
      <c r="H2" s="124" t="s">
        <v>136</v>
      </c>
      <c r="I2" s="124"/>
      <c r="J2" s="124"/>
      <c r="K2" s="124"/>
      <c r="L2" s="124"/>
      <c r="M2" s="124"/>
      <c r="N2" s="124"/>
      <c r="O2" s="124"/>
      <c r="P2" s="124"/>
      <c r="Q2" s="125"/>
      <c r="W2" s="138" t="s">
        <v>200</v>
      </c>
      <c r="X2" s="138"/>
      <c r="Y2" s="138"/>
      <c r="Z2" s="138"/>
      <c r="AA2" s="138"/>
    </row>
    <row r="3" spans="1:27" ht="22.35" customHeight="1">
      <c r="A3" s="126" t="s">
        <v>201</v>
      </c>
      <c r="B3" s="127"/>
      <c r="C3" s="128" t="s">
        <v>37</v>
      </c>
      <c r="D3" s="128"/>
      <c r="E3" s="1"/>
      <c r="F3" s="127" t="s">
        <v>202</v>
      </c>
      <c r="G3" s="127"/>
      <c r="H3" s="128"/>
      <c r="I3" s="128"/>
      <c r="J3" s="128"/>
      <c r="K3" s="128"/>
      <c r="L3" s="128"/>
      <c r="M3" s="128"/>
      <c r="N3" s="128"/>
      <c r="O3" s="128"/>
      <c r="P3" s="128"/>
      <c r="Q3" s="129"/>
      <c r="W3" s="65" t="s">
        <v>203</v>
      </c>
      <c r="X3" s="66" t="s">
        <v>204</v>
      </c>
      <c r="Y3" s="66" t="s">
        <v>205</v>
      </c>
      <c r="Z3" s="66" t="s">
        <v>206</v>
      </c>
      <c r="AA3" s="67" t="s">
        <v>207</v>
      </c>
    </row>
    <row r="4" spans="1:27" ht="30.45" customHeight="1">
      <c r="A4" s="126" t="s">
        <v>208</v>
      </c>
      <c r="B4" s="127"/>
      <c r="C4" s="128" t="s">
        <v>1987</v>
      </c>
      <c r="D4" s="128"/>
      <c r="E4" s="128"/>
      <c r="F4" s="128"/>
      <c r="G4" s="128"/>
      <c r="H4" s="128"/>
      <c r="I4" s="128"/>
      <c r="J4" s="128"/>
      <c r="K4" s="128"/>
      <c r="L4" s="128"/>
      <c r="M4" s="128"/>
      <c r="N4" s="128"/>
      <c r="O4" s="128"/>
      <c r="P4" s="128"/>
      <c r="Q4" s="129"/>
      <c r="W4" s="68" t="s">
        <v>1988</v>
      </c>
      <c r="X4" s="69" t="s">
        <v>1989</v>
      </c>
      <c r="Y4" s="69" t="s">
        <v>1990</v>
      </c>
      <c r="Z4" s="69" t="s">
        <v>1991</v>
      </c>
      <c r="AA4" s="70" t="s">
        <v>1992</v>
      </c>
    </row>
    <row r="5" spans="1:27" ht="30.45" customHeight="1">
      <c r="A5" s="126" t="s">
        <v>215</v>
      </c>
      <c r="B5" s="127"/>
      <c r="C5" s="128" t="s">
        <v>134</v>
      </c>
      <c r="D5" s="128"/>
      <c r="E5" s="128"/>
      <c r="F5" s="128"/>
      <c r="G5" s="128"/>
      <c r="H5" s="128"/>
      <c r="I5" s="128"/>
      <c r="J5" s="128"/>
      <c r="K5" s="128"/>
      <c r="L5" s="128"/>
      <c r="M5" s="128"/>
      <c r="N5" s="128"/>
      <c r="O5" s="128"/>
      <c r="P5" s="128"/>
      <c r="Q5" s="129"/>
      <c r="W5" s="68" t="s">
        <v>1993</v>
      </c>
      <c r="X5" s="69" t="s">
        <v>1994</v>
      </c>
      <c r="Y5" s="69" t="s">
        <v>1995</v>
      </c>
      <c r="Z5" s="69" t="s">
        <v>1996</v>
      </c>
      <c r="AA5" s="70" t="s">
        <v>1997</v>
      </c>
    </row>
    <row r="6" spans="1:27" ht="30.45" customHeight="1">
      <c r="A6" s="130" t="s">
        <v>173</v>
      </c>
      <c r="B6" s="131"/>
      <c r="C6" s="131" t="s">
        <v>174</v>
      </c>
      <c r="D6" s="131"/>
      <c r="E6" s="131" t="s">
        <v>175</v>
      </c>
      <c r="F6" s="131"/>
      <c r="G6" s="131" t="s">
        <v>180</v>
      </c>
      <c r="H6" s="131"/>
      <c r="I6" s="131" t="s">
        <v>184</v>
      </c>
      <c r="J6" s="131"/>
      <c r="K6" s="131" t="s">
        <v>185</v>
      </c>
      <c r="L6" s="131"/>
      <c r="M6" s="131" t="s">
        <v>186</v>
      </c>
      <c r="N6" s="131"/>
      <c r="O6" s="131" t="s">
        <v>187</v>
      </c>
      <c r="P6" s="131"/>
      <c r="Q6" s="132"/>
      <c r="W6" s="68" t="s">
        <v>1998</v>
      </c>
      <c r="X6" s="69" t="s">
        <v>1999</v>
      </c>
      <c r="Y6" s="69" t="s">
        <v>2000</v>
      </c>
      <c r="Z6" s="69" t="s">
        <v>2001</v>
      </c>
      <c r="AA6" s="70" t="s">
        <v>2002</v>
      </c>
    </row>
    <row r="7" spans="1:27" ht="30.45" customHeight="1">
      <c r="A7" s="133">
        <f>COUNTIF(F22:Q22,"Passed")</f>
        <v>0</v>
      </c>
      <c r="B7" s="134"/>
      <c r="C7" s="134">
        <f>COUNTIF(F22:Q22,"Failed")</f>
        <v>0</v>
      </c>
      <c r="D7" s="134"/>
      <c r="E7" s="134">
        <f>COUNTIF(F22:Q22,"Blocked")</f>
        <v>0</v>
      </c>
      <c r="F7" s="134"/>
      <c r="G7" s="134">
        <f>12-A7-C7-E7</f>
        <v>12</v>
      </c>
      <c r="H7" s="134"/>
      <c r="I7" s="134">
        <f>COUNTIF(F21:Q21,"N")</f>
        <v>6</v>
      </c>
      <c r="J7" s="134"/>
      <c r="K7" s="134">
        <f>COUNTIF(F21:Q21,"A")</f>
        <v>2</v>
      </c>
      <c r="L7" s="134"/>
      <c r="M7" s="134">
        <f>COUNTIF(F21:Q21,"B")</f>
        <v>4</v>
      </c>
      <c r="N7" s="134"/>
      <c r="O7" s="134">
        <v>12</v>
      </c>
      <c r="P7" s="134"/>
      <c r="Q7" s="135"/>
      <c r="W7" s="68" t="s">
        <v>2003</v>
      </c>
      <c r="X7" s="69" t="s">
        <v>2004</v>
      </c>
      <c r="Y7" s="69" t="s">
        <v>2005</v>
      </c>
      <c r="Z7" s="69" t="s">
        <v>2006</v>
      </c>
      <c r="AA7" s="70" t="s">
        <v>2007</v>
      </c>
    </row>
    <row r="8" spans="1:27" ht="30.45" customHeight="1">
      <c r="A8" s="1"/>
      <c r="B8" s="1"/>
      <c r="C8" s="1"/>
      <c r="D8" s="1"/>
      <c r="E8" s="1"/>
      <c r="F8" s="1"/>
      <c r="G8" s="1"/>
      <c r="H8" s="1"/>
      <c r="I8" s="1"/>
      <c r="J8" s="1"/>
      <c r="K8" s="1"/>
      <c r="L8" s="1"/>
      <c r="M8" s="1"/>
      <c r="N8" s="1"/>
      <c r="O8" s="1"/>
      <c r="P8" s="1"/>
      <c r="Q8" s="1"/>
      <c r="W8" s="71" t="s">
        <v>2008</v>
      </c>
      <c r="X8" s="72" t="s">
        <v>2009</v>
      </c>
      <c r="Y8" s="72" t="s">
        <v>2010</v>
      </c>
      <c r="Z8" s="72" t="s">
        <v>2011</v>
      </c>
      <c r="AA8" s="73" t="s">
        <v>2012</v>
      </c>
    </row>
    <row r="9" spans="1:27" ht="35.25" customHeight="1">
      <c r="A9" s="42"/>
      <c r="B9" s="43"/>
      <c r="C9" s="43"/>
      <c r="D9" s="43"/>
      <c r="E9" s="43"/>
      <c r="F9" s="43" t="s">
        <v>2013</v>
      </c>
      <c r="G9" s="43" t="s">
        <v>2014</v>
      </c>
      <c r="H9" s="43" t="s">
        <v>2015</v>
      </c>
      <c r="I9" s="43" t="s">
        <v>2016</v>
      </c>
      <c r="J9" s="43" t="s">
        <v>2017</v>
      </c>
      <c r="K9" s="43" t="s">
        <v>2018</v>
      </c>
      <c r="L9" s="43" t="s">
        <v>2019</v>
      </c>
      <c r="M9" s="43" t="s">
        <v>2020</v>
      </c>
      <c r="N9" s="43" t="s">
        <v>2021</v>
      </c>
      <c r="O9" s="43" t="s">
        <v>2022</v>
      </c>
      <c r="P9" s="43" t="s">
        <v>2023</v>
      </c>
      <c r="Q9" s="44" t="s">
        <v>2024</v>
      </c>
      <c r="W9" s="139" t="s">
        <v>247</v>
      </c>
      <c r="X9" s="140"/>
      <c r="Y9" s="140"/>
      <c r="Z9" s="140"/>
      <c r="AA9" s="141"/>
    </row>
    <row r="10" spans="1:27" ht="38.4" customHeight="1">
      <c r="A10" s="136" t="s">
        <v>248</v>
      </c>
      <c r="B10" s="41" t="s">
        <v>249</v>
      </c>
      <c r="C10" s="41"/>
      <c r="D10" s="41"/>
      <c r="E10" s="41"/>
      <c r="F10" s="3" t="s">
        <v>2025</v>
      </c>
      <c r="G10" s="3" t="s">
        <v>2026</v>
      </c>
      <c r="H10" s="3" t="s">
        <v>2027</v>
      </c>
      <c r="I10" s="3" t="s">
        <v>2028</v>
      </c>
      <c r="J10" s="3" t="s">
        <v>2029</v>
      </c>
      <c r="K10" s="3" t="s">
        <v>2030</v>
      </c>
      <c r="L10" s="3" t="s">
        <v>2031</v>
      </c>
      <c r="M10" s="3" t="s">
        <v>2032</v>
      </c>
      <c r="N10" s="3" t="s">
        <v>2033</v>
      </c>
      <c r="O10" s="3" t="s">
        <v>2034</v>
      </c>
      <c r="P10" s="3" t="s">
        <v>2035</v>
      </c>
      <c r="Q10" s="7" t="s">
        <v>2036</v>
      </c>
    </row>
    <row r="11" spans="1:27" ht="35.25" customHeight="1">
      <c r="A11" s="136"/>
      <c r="B11" s="41" t="s">
        <v>261</v>
      </c>
      <c r="C11" s="41"/>
      <c r="D11" s="41"/>
      <c r="E11" s="41"/>
      <c r="F11" s="3" t="s">
        <v>2037</v>
      </c>
      <c r="G11" s="3" t="s">
        <v>2037</v>
      </c>
      <c r="H11" s="3" t="s">
        <v>2037</v>
      </c>
      <c r="I11" s="3" t="s">
        <v>2038</v>
      </c>
      <c r="J11" s="3" t="s">
        <v>2039</v>
      </c>
      <c r="K11" s="3" t="s">
        <v>2040</v>
      </c>
      <c r="L11" s="3" t="s">
        <v>2041</v>
      </c>
      <c r="M11" s="3" t="s">
        <v>2042</v>
      </c>
      <c r="N11" s="3" t="s">
        <v>2037</v>
      </c>
      <c r="O11" s="3" t="s">
        <v>2043</v>
      </c>
      <c r="P11" s="3" t="s">
        <v>2044</v>
      </c>
      <c r="Q11" s="7" t="s">
        <v>2045</v>
      </c>
    </row>
    <row r="12" spans="1:27" ht="22.35" customHeight="1">
      <c r="A12" s="136"/>
      <c r="B12" s="41" t="s">
        <v>274</v>
      </c>
      <c r="C12" s="41"/>
      <c r="D12" s="41"/>
      <c r="E12" s="41"/>
      <c r="F12" s="3" t="s">
        <v>2046</v>
      </c>
      <c r="G12" s="3" t="s">
        <v>2047</v>
      </c>
      <c r="H12" s="3" t="s">
        <v>2048</v>
      </c>
      <c r="I12" s="3" t="s">
        <v>2049</v>
      </c>
      <c r="J12" s="3" t="s">
        <v>2050</v>
      </c>
      <c r="K12" s="3" t="s">
        <v>2051</v>
      </c>
      <c r="L12" s="3" t="s">
        <v>2052</v>
      </c>
      <c r="M12" s="3" t="s">
        <v>1935</v>
      </c>
      <c r="N12" s="3" t="s">
        <v>2053</v>
      </c>
      <c r="O12" s="3" t="s">
        <v>2054</v>
      </c>
      <c r="P12" s="3" t="s">
        <v>2055</v>
      </c>
      <c r="Q12" s="7" t="s">
        <v>2056</v>
      </c>
      <c r="W12" s="138" t="s">
        <v>287</v>
      </c>
      <c r="X12" s="138"/>
      <c r="Y12" s="138"/>
      <c r="Z12" s="138"/>
      <c r="AA12" s="138"/>
    </row>
    <row r="13" spans="1:27" ht="22.35" customHeight="1">
      <c r="A13" s="136"/>
      <c r="B13" s="41" t="s">
        <v>288</v>
      </c>
      <c r="C13" s="41"/>
      <c r="D13" s="41"/>
      <c r="E13" s="41"/>
      <c r="F13" s="3" t="s">
        <v>2057</v>
      </c>
      <c r="G13" s="3" t="s">
        <v>2058</v>
      </c>
      <c r="H13" s="3" t="s">
        <v>2059</v>
      </c>
      <c r="I13" s="3" t="s">
        <v>2060</v>
      </c>
      <c r="J13" s="3" t="s">
        <v>292</v>
      </c>
      <c r="K13" s="3" t="s">
        <v>292</v>
      </c>
      <c r="L13" s="3" t="s">
        <v>292</v>
      </c>
      <c r="M13" s="3" t="s">
        <v>2061</v>
      </c>
      <c r="N13" s="3" t="s">
        <v>292</v>
      </c>
      <c r="O13" s="3" t="s">
        <v>2062</v>
      </c>
      <c r="P13" s="3" t="s">
        <v>2063</v>
      </c>
      <c r="Q13" s="7" t="s">
        <v>2064</v>
      </c>
      <c r="W13" s="65" t="s">
        <v>299</v>
      </c>
      <c r="X13" s="66" t="s">
        <v>300</v>
      </c>
      <c r="Y13" s="66" t="s">
        <v>301</v>
      </c>
      <c r="Z13" s="66" t="s">
        <v>302</v>
      </c>
      <c r="AA13" s="67" t="s">
        <v>303</v>
      </c>
    </row>
    <row r="14" spans="1:27" ht="30.45" customHeight="1">
      <c r="A14" s="136" t="s">
        <v>304</v>
      </c>
      <c r="B14" s="41" t="s">
        <v>305</v>
      </c>
      <c r="C14" s="41"/>
      <c r="D14" s="41"/>
      <c r="E14" s="41"/>
      <c r="F14" s="3" t="s">
        <v>2065</v>
      </c>
      <c r="G14" s="3" t="s">
        <v>2066</v>
      </c>
      <c r="H14" s="3" t="s">
        <v>2066</v>
      </c>
      <c r="I14" s="3" t="s">
        <v>2066</v>
      </c>
      <c r="J14" s="3" t="s">
        <v>2066</v>
      </c>
      <c r="K14" s="3" t="s">
        <v>2066</v>
      </c>
      <c r="L14" s="3" t="s">
        <v>2066</v>
      </c>
      <c r="M14" s="3" t="s">
        <v>2066</v>
      </c>
      <c r="N14" s="3" t="s">
        <v>2066</v>
      </c>
      <c r="O14" s="3" t="s">
        <v>2066</v>
      </c>
      <c r="P14" s="3" t="s">
        <v>2066</v>
      </c>
      <c r="Q14" s="7" t="s">
        <v>2067</v>
      </c>
      <c r="W14" s="74">
        <v>1</v>
      </c>
      <c r="X14" s="76" t="s">
        <v>316</v>
      </c>
      <c r="Y14" s="69" t="s">
        <v>2068</v>
      </c>
      <c r="Z14" s="69" t="s">
        <v>2069</v>
      </c>
      <c r="AA14" s="78" t="s">
        <v>2013</v>
      </c>
    </row>
    <row r="15" spans="1:27" ht="30.45" customHeight="1">
      <c r="A15" s="136"/>
      <c r="B15" s="41" t="s">
        <v>319</v>
      </c>
      <c r="C15" s="41"/>
      <c r="D15" s="41"/>
      <c r="E15" s="41"/>
      <c r="F15" s="3" t="s">
        <v>2070</v>
      </c>
      <c r="G15" s="3" t="s">
        <v>2071</v>
      </c>
      <c r="H15" s="3" t="s">
        <v>2071</v>
      </c>
      <c r="I15" s="3" t="s">
        <v>2072</v>
      </c>
      <c r="J15" s="3" t="s">
        <v>2073</v>
      </c>
      <c r="K15" s="3" t="s">
        <v>2074</v>
      </c>
      <c r="L15" s="3" t="s">
        <v>2075</v>
      </c>
      <c r="M15" s="3" t="s">
        <v>2076</v>
      </c>
      <c r="N15" s="3" t="s">
        <v>2077</v>
      </c>
      <c r="O15" s="3" t="s">
        <v>2071</v>
      </c>
      <c r="P15" s="3" t="s">
        <v>524</v>
      </c>
      <c r="Q15" s="7" t="s">
        <v>2078</v>
      </c>
      <c r="W15" s="74">
        <v>2</v>
      </c>
      <c r="X15" s="76" t="s">
        <v>316</v>
      </c>
      <c r="Y15" s="69" t="s">
        <v>2079</v>
      </c>
      <c r="Z15" s="69" t="s">
        <v>2080</v>
      </c>
      <c r="AA15" s="78" t="s">
        <v>2014</v>
      </c>
    </row>
    <row r="16" spans="1:27" ht="30.45" customHeight="1">
      <c r="A16" s="136"/>
      <c r="B16" s="41" t="s">
        <v>335</v>
      </c>
      <c r="C16" s="41"/>
      <c r="D16" s="41"/>
      <c r="E16" s="41"/>
      <c r="F16" s="3" t="s">
        <v>2075</v>
      </c>
      <c r="G16" s="3" t="s">
        <v>1650</v>
      </c>
      <c r="H16" s="3" t="s">
        <v>2081</v>
      </c>
      <c r="I16" s="3" t="s">
        <v>1650</v>
      </c>
      <c r="J16" s="3" t="s">
        <v>644</v>
      </c>
      <c r="K16" s="3" t="s">
        <v>292</v>
      </c>
      <c r="L16" s="3" t="s">
        <v>292</v>
      </c>
      <c r="M16" s="3" t="s">
        <v>2082</v>
      </c>
      <c r="N16" s="3" t="s">
        <v>2083</v>
      </c>
      <c r="O16" s="3" t="s">
        <v>292</v>
      </c>
      <c r="P16" s="3" t="s">
        <v>292</v>
      </c>
      <c r="Q16" s="7" t="s">
        <v>2084</v>
      </c>
      <c r="W16" s="74">
        <v>3</v>
      </c>
      <c r="X16" s="76" t="s">
        <v>316</v>
      </c>
      <c r="Y16" s="69" t="s">
        <v>2085</v>
      </c>
      <c r="Z16" s="69" t="s">
        <v>2086</v>
      </c>
      <c r="AA16" s="78" t="s">
        <v>2015</v>
      </c>
    </row>
    <row r="17" spans="1:27" ht="30.45" customHeight="1">
      <c r="A17" s="136"/>
      <c r="B17" s="41" t="s">
        <v>346</v>
      </c>
      <c r="C17" s="41"/>
      <c r="D17" s="41"/>
      <c r="E17" s="41"/>
      <c r="F17" s="3" t="s">
        <v>1650</v>
      </c>
      <c r="G17" s="3" t="s">
        <v>292</v>
      </c>
      <c r="H17" s="3" t="s">
        <v>292</v>
      </c>
      <c r="I17" s="3" t="s">
        <v>292</v>
      </c>
      <c r="J17" s="3" t="s">
        <v>292</v>
      </c>
      <c r="K17" s="3" t="s">
        <v>292</v>
      </c>
      <c r="L17" s="3" t="s">
        <v>292</v>
      </c>
      <c r="M17" s="3" t="s">
        <v>1669</v>
      </c>
      <c r="N17" s="3" t="s">
        <v>292</v>
      </c>
      <c r="O17" s="3" t="s">
        <v>292</v>
      </c>
      <c r="P17" s="3" t="s">
        <v>292</v>
      </c>
      <c r="Q17" s="7" t="s">
        <v>2087</v>
      </c>
      <c r="W17" s="74">
        <v>4</v>
      </c>
      <c r="X17" s="76" t="s">
        <v>316</v>
      </c>
      <c r="Y17" s="69" t="s">
        <v>2088</v>
      </c>
      <c r="Z17" s="69" t="s">
        <v>2089</v>
      </c>
      <c r="AA17" s="78" t="s">
        <v>2016</v>
      </c>
    </row>
    <row r="18" spans="1:27" ht="30.45" customHeight="1">
      <c r="A18" s="136"/>
      <c r="B18" s="41" t="s">
        <v>302</v>
      </c>
      <c r="C18" s="41"/>
      <c r="D18" s="41"/>
      <c r="E18" s="41"/>
      <c r="F18" s="3" t="s">
        <v>2069</v>
      </c>
      <c r="G18" s="3" t="s">
        <v>2080</v>
      </c>
      <c r="H18" s="3" t="s">
        <v>2086</v>
      </c>
      <c r="I18" s="3" t="s">
        <v>2089</v>
      </c>
      <c r="J18" s="3" t="s">
        <v>2090</v>
      </c>
      <c r="K18" s="3" t="s">
        <v>2091</v>
      </c>
      <c r="L18" s="3" t="s">
        <v>2092</v>
      </c>
      <c r="M18" s="3" t="s">
        <v>2093</v>
      </c>
      <c r="N18" s="3" t="s">
        <v>2094</v>
      </c>
      <c r="O18" s="3" t="s">
        <v>2095</v>
      </c>
      <c r="P18" s="3" t="s">
        <v>2096</v>
      </c>
      <c r="Q18" s="7" t="s">
        <v>2097</v>
      </c>
      <c r="W18" s="74">
        <v>5</v>
      </c>
      <c r="X18" s="76" t="s">
        <v>357</v>
      </c>
      <c r="Y18" s="69" t="s">
        <v>2098</v>
      </c>
      <c r="Z18" s="69" t="s">
        <v>2090</v>
      </c>
      <c r="AA18" s="78" t="s">
        <v>2017</v>
      </c>
    </row>
    <row r="19" spans="1:27" ht="30.45" customHeight="1">
      <c r="A19" s="136"/>
      <c r="B19" s="41" t="s">
        <v>369</v>
      </c>
      <c r="C19" s="41"/>
      <c r="D19" s="41"/>
      <c r="E19" s="41"/>
      <c r="F19" s="3"/>
      <c r="G19" s="3"/>
      <c r="H19" s="3"/>
      <c r="I19" s="3"/>
      <c r="J19" s="3"/>
      <c r="K19" s="3"/>
      <c r="L19" s="3"/>
      <c r="M19" s="3"/>
      <c r="N19" s="3"/>
      <c r="O19" s="3"/>
      <c r="P19" s="3"/>
      <c r="Q19" s="7"/>
      <c r="W19" s="74">
        <v>6</v>
      </c>
      <c r="X19" s="76" t="s">
        <v>357</v>
      </c>
      <c r="Y19" s="69" t="s">
        <v>2099</v>
      </c>
      <c r="Z19" s="69" t="s">
        <v>2091</v>
      </c>
      <c r="AA19" s="78" t="s">
        <v>2018</v>
      </c>
    </row>
    <row r="20" spans="1:27" ht="30.45" customHeight="1">
      <c r="A20" s="136"/>
      <c r="B20" s="41" t="s">
        <v>378</v>
      </c>
      <c r="C20" s="41"/>
      <c r="D20" s="41"/>
      <c r="E20" s="41"/>
      <c r="F20" s="3" t="s">
        <v>2100</v>
      </c>
      <c r="G20" s="3" t="s">
        <v>2101</v>
      </c>
      <c r="H20" s="3" t="s">
        <v>2102</v>
      </c>
      <c r="I20" s="3" t="s">
        <v>2103</v>
      </c>
      <c r="J20" s="3" t="s">
        <v>2104</v>
      </c>
      <c r="K20" s="3" t="s">
        <v>2105</v>
      </c>
      <c r="L20" s="3" t="s">
        <v>2106</v>
      </c>
      <c r="M20" s="3" t="s">
        <v>2107</v>
      </c>
      <c r="N20" s="3" t="s">
        <v>2108</v>
      </c>
      <c r="O20" s="3" t="s">
        <v>851</v>
      </c>
      <c r="P20" s="3" t="s">
        <v>2109</v>
      </c>
      <c r="Q20" s="7" t="s">
        <v>2110</v>
      </c>
      <c r="W20" s="74">
        <v>7</v>
      </c>
      <c r="X20" s="76" t="s">
        <v>357</v>
      </c>
      <c r="Y20" s="69" t="s">
        <v>2111</v>
      </c>
      <c r="Z20" s="69" t="s">
        <v>2092</v>
      </c>
      <c r="AA20" s="78" t="s">
        <v>2019</v>
      </c>
    </row>
    <row r="21" spans="1:27" ht="30.45" customHeight="1">
      <c r="A21" s="136" t="s">
        <v>392</v>
      </c>
      <c r="B21" s="41" t="s">
        <v>393</v>
      </c>
      <c r="C21" s="41"/>
      <c r="D21" s="41"/>
      <c r="E21" s="41"/>
      <c r="F21" s="48" t="s">
        <v>184</v>
      </c>
      <c r="G21" s="48" t="s">
        <v>184</v>
      </c>
      <c r="H21" s="48" t="s">
        <v>184</v>
      </c>
      <c r="I21" s="48" t="s">
        <v>184</v>
      </c>
      <c r="J21" s="48" t="s">
        <v>186</v>
      </c>
      <c r="K21" s="48" t="s">
        <v>186</v>
      </c>
      <c r="L21" s="48" t="s">
        <v>186</v>
      </c>
      <c r="M21" s="48" t="s">
        <v>184</v>
      </c>
      <c r="N21" s="48" t="s">
        <v>185</v>
      </c>
      <c r="O21" s="48" t="s">
        <v>186</v>
      </c>
      <c r="P21" s="48" t="s">
        <v>185</v>
      </c>
      <c r="Q21" s="49" t="s">
        <v>184</v>
      </c>
      <c r="W21" s="74">
        <v>8</v>
      </c>
      <c r="X21" s="76" t="s">
        <v>316</v>
      </c>
      <c r="Y21" s="69" t="s">
        <v>2112</v>
      </c>
      <c r="Z21" s="69" t="s">
        <v>2093</v>
      </c>
      <c r="AA21" s="78" t="s">
        <v>2020</v>
      </c>
    </row>
    <row r="22" spans="1:27" ht="19.2" customHeight="1">
      <c r="A22" s="136"/>
      <c r="B22" s="83" t="s">
        <v>395</v>
      </c>
      <c r="C22" s="84"/>
      <c r="D22" s="84"/>
      <c r="E22" s="85"/>
      <c r="F22" s="86"/>
      <c r="G22" s="87"/>
      <c r="H22" s="87"/>
      <c r="I22" s="87"/>
      <c r="J22" s="87"/>
      <c r="K22" s="87"/>
      <c r="L22" s="87"/>
      <c r="M22" s="87"/>
      <c r="N22" s="87"/>
      <c r="O22" s="87"/>
      <c r="P22" s="87"/>
      <c r="Q22" s="88"/>
      <c r="W22" s="74">
        <v>9</v>
      </c>
      <c r="X22" s="76" t="s">
        <v>332</v>
      </c>
      <c r="Y22" s="69" t="s">
        <v>2113</v>
      </c>
      <c r="Z22" s="69" t="s">
        <v>2094</v>
      </c>
      <c r="AA22" s="78" t="s">
        <v>2021</v>
      </c>
    </row>
    <row r="23" spans="1:27" ht="30.45" customHeight="1">
      <c r="A23" s="136"/>
      <c r="B23" s="41" t="s">
        <v>397</v>
      </c>
      <c r="C23" s="41"/>
      <c r="D23" s="41"/>
      <c r="E23" s="41"/>
      <c r="F23" s="50"/>
      <c r="G23" s="50"/>
      <c r="H23" s="50"/>
      <c r="I23" s="50"/>
      <c r="J23" s="50"/>
      <c r="K23" s="50"/>
      <c r="L23" s="50"/>
      <c r="M23" s="50"/>
      <c r="N23" s="50"/>
      <c r="O23" s="50"/>
      <c r="P23" s="50"/>
      <c r="Q23" s="51"/>
      <c r="W23" s="74">
        <v>10</v>
      </c>
      <c r="X23" s="76" t="s">
        <v>357</v>
      </c>
      <c r="Y23" s="69" t="s">
        <v>2114</v>
      </c>
      <c r="Z23" s="69" t="s">
        <v>2095</v>
      </c>
      <c r="AA23" s="78" t="s">
        <v>2022</v>
      </c>
    </row>
    <row r="24" spans="1:27" ht="30.45" customHeight="1">
      <c r="A24" s="137"/>
      <c r="B24" s="45" t="s">
        <v>399</v>
      </c>
      <c r="C24" s="45"/>
      <c r="D24" s="45"/>
      <c r="E24" s="45"/>
      <c r="F24" s="46"/>
      <c r="G24" s="46"/>
      <c r="H24" s="46"/>
      <c r="I24" s="46"/>
      <c r="J24" s="46"/>
      <c r="K24" s="46"/>
      <c r="L24" s="46"/>
      <c r="M24" s="46"/>
      <c r="N24" s="46"/>
      <c r="O24" s="46"/>
      <c r="P24" s="46"/>
      <c r="Q24" s="47"/>
      <c r="W24" s="74">
        <v>11</v>
      </c>
      <c r="X24" s="76" t="s">
        <v>332</v>
      </c>
      <c r="Y24" s="69" t="s">
        <v>2115</v>
      </c>
      <c r="Z24" s="69" t="s">
        <v>2096</v>
      </c>
      <c r="AA24" s="78" t="s">
        <v>2023</v>
      </c>
    </row>
    <row r="25" spans="1:27" ht="30.45" customHeight="1">
      <c r="W25" s="75">
        <v>12</v>
      </c>
      <c r="X25" s="77" t="s">
        <v>316</v>
      </c>
      <c r="Y25" s="72" t="s">
        <v>2116</v>
      </c>
      <c r="Z25" s="72" t="s">
        <v>2097</v>
      </c>
      <c r="AA25" s="79" t="s">
        <v>2024</v>
      </c>
    </row>
  </sheetData>
  <mergeCells count="34">
    <mergeCell ref="A21:A24"/>
    <mergeCell ref="W2:AA2"/>
    <mergeCell ref="W9:AA9"/>
    <mergeCell ref="W12:AA12"/>
    <mergeCell ref="K7:L7"/>
    <mergeCell ref="M7:N7"/>
    <mergeCell ref="O7:Q7"/>
    <mergeCell ref="A10:A13"/>
    <mergeCell ref="A14:A20"/>
    <mergeCell ref="A7:B7"/>
    <mergeCell ref="C7:D7"/>
    <mergeCell ref="E7:F7"/>
    <mergeCell ref="G7:H7"/>
    <mergeCell ref="I7:J7"/>
    <mergeCell ref="A4:B4"/>
    <mergeCell ref="C4:Q4"/>
    <mergeCell ref="A5:B5"/>
    <mergeCell ref="C5:Q5"/>
    <mergeCell ref="A6:B6"/>
    <mergeCell ref="C6:D6"/>
    <mergeCell ref="E6:F6"/>
    <mergeCell ref="G6:H6"/>
    <mergeCell ref="I6:J6"/>
    <mergeCell ref="K6:L6"/>
    <mergeCell ref="M6:N6"/>
    <mergeCell ref="O6:Q6"/>
    <mergeCell ref="A2:B2"/>
    <mergeCell ref="C2:D2"/>
    <mergeCell ref="F2:G2"/>
    <mergeCell ref="H2:Q2"/>
    <mergeCell ref="A3:B3"/>
    <mergeCell ref="C3:D3"/>
    <mergeCell ref="F3:G3"/>
    <mergeCell ref="H3:Q3"/>
  </mergeCells>
  <conditionalFormatting sqref="F22:Q22">
    <cfRule type="expression" dxfId="17" priority="1">
      <formula>F22="Passed"</formula>
    </cfRule>
    <cfRule type="expression" dxfId="16" priority="2">
      <formula>F22="Failed"</formula>
    </cfRule>
    <cfRule type="expression" dxfId="15" priority="3">
      <formula>F22="Blocked"</formula>
    </cfRule>
  </conditionalFormatting>
  <dataValidations count="1">
    <dataValidation type="list" sqref="F22:Q22" xr:uid="{00000000-0002-0000-0F00-000000000000}">
      <formula1>"Passed,Failed,Blocked"</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A28"/>
  <sheetViews>
    <sheetView topLeftCell="I9" workbookViewId="0">
      <selection activeCell="J15" sqref="J15"/>
    </sheetView>
  </sheetViews>
  <sheetFormatPr defaultRowHeight="13.8"/>
  <cols>
    <col min="1" max="1" width="15" customWidth="1"/>
    <col min="2" max="5" width="16" customWidth="1"/>
    <col min="6" max="20" width="20" customWidth="1"/>
    <col min="23" max="24" width="20" customWidth="1"/>
    <col min="25" max="26" width="38" customWidth="1"/>
    <col min="27" max="27" width="16" customWidth="1"/>
  </cols>
  <sheetData>
    <row r="1" spans="1:27">
      <c r="A1" s="1"/>
      <c r="B1" s="1"/>
      <c r="C1" s="1"/>
      <c r="D1" s="1"/>
      <c r="E1" s="1"/>
      <c r="F1" s="1"/>
      <c r="G1" s="1"/>
      <c r="H1" s="1"/>
      <c r="I1" s="1"/>
      <c r="J1" s="1"/>
      <c r="K1" s="1"/>
      <c r="L1" s="1"/>
      <c r="M1" s="1"/>
      <c r="N1" s="1"/>
      <c r="O1" s="1"/>
      <c r="P1" s="1"/>
      <c r="Q1" s="1"/>
      <c r="R1" s="1"/>
      <c r="S1" s="1"/>
      <c r="T1" s="1"/>
    </row>
    <row r="2" spans="1:27" ht="22.35" customHeight="1">
      <c r="A2" s="122" t="s">
        <v>199</v>
      </c>
      <c r="B2" s="123"/>
      <c r="C2" s="124" t="s">
        <v>143</v>
      </c>
      <c r="D2" s="124"/>
      <c r="E2" s="18"/>
      <c r="F2" s="123" t="s">
        <v>63</v>
      </c>
      <c r="G2" s="123"/>
      <c r="H2" s="124" t="s">
        <v>142</v>
      </c>
      <c r="I2" s="124"/>
      <c r="J2" s="124"/>
      <c r="K2" s="124"/>
      <c r="L2" s="124"/>
      <c r="M2" s="124"/>
      <c r="N2" s="124"/>
      <c r="O2" s="124"/>
      <c r="P2" s="124"/>
      <c r="Q2" s="124"/>
      <c r="R2" s="124"/>
      <c r="S2" s="124"/>
      <c r="T2" s="125"/>
      <c r="W2" s="138" t="s">
        <v>200</v>
      </c>
      <c r="X2" s="138"/>
      <c r="Y2" s="138"/>
      <c r="Z2" s="138"/>
      <c r="AA2" s="138"/>
    </row>
    <row r="3" spans="1:27" ht="22.35" customHeight="1">
      <c r="A3" s="126" t="s">
        <v>201</v>
      </c>
      <c r="B3" s="127"/>
      <c r="C3" s="128" t="s">
        <v>37</v>
      </c>
      <c r="D3" s="128"/>
      <c r="E3" s="1"/>
      <c r="F3" s="127" t="s">
        <v>202</v>
      </c>
      <c r="G3" s="127"/>
      <c r="H3" s="128"/>
      <c r="I3" s="128"/>
      <c r="J3" s="128"/>
      <c r="K3" s="128"/>
      <c r="L3" s="128"/>
      <c r="M3" s="128"/>
      <c r="N3" s="128"/>
      <c r="O3" s="128"/>
      <c r="P3" s="128"/>
      <c r="Q3" s="128"/>
      <c r="R3" s="128"/>
      <c r="S3" s="128"/>
      <c r="T3" s="129"/>
      <c r="W3" s="65" t="s">
        <v>203</v>
      </c>
      <c r="X3" s="66" t="s">
        <v>204</v>
      </c>
      <c r="Y3" s="66" t="s">
        <v>205</v>
      </c>
      <c r="Z3" s="66" t="s">
        <v>206</v>
      </c>
      <c r="AA3" s="67" t="s">
        <v>207</v>
      </c>
    </row>
    <row r="4" spans="1:27" ht="30.45" customHeight="1">
      <c r="A4" s="126" t="s">
        <v>208</v>
      </c>
      <c r="B4" s="127"/>
      <c r="C4" s="128" t="s">
        <v>2117</v>
      </c>
      <c r="D4" s="128"/>
      <c r="E4" s="128"/>
      <c r="F4" s="128"/>
      <c r="G4" s="128"/>
      <c r="H4" s="128"/>
      <c r="I4" s="128"/>
      <c r="J4" s="128"/>
      <c r="K4" s="128"/>
      <c r="L4" s="128"/>
      <c r="M4" s="128"/>
      <c r="N4" s="128"/>
      <c r="O4" s="128"/>
      <c r="P4" s="128"/>
      <c r="Q4" s="128"/>
      <c r="R4" s="128"/>
      <c r="S4" s="128"/>
      <c r="T4" s="129"/>
      <c r="W4" s="68" t="s">
        <v>2118</v>
      </c>
      <c r="X4" s="69" t="s">
        <v>2119</v>
      </c>
      <c r="Y4" s="69" t="s">
        <v>2120</v>
      </c>
      <c r="Z4" s="69" t="s">
        <v>2121</v>
      </c>
      <c r="AA4" s="70" t="s">
        <v>2122</v>
      </c>
    </row>
    <row r="5" spans="1:27" ht="30.45" customHeight="1">
      <c r="A5" s="126" t="s">
        <v>215</v>
      </c>
      <c r="B5" s="127"/>
      <c r="C5" s="128" t="s">
        <v>140</v>
      </c>
      <c r="D5" s="128"/>
      <c r="E5" s="128"/>
      <c r="F5" s="128"/>
      <c r="G5" s="128"/>
      <c r="H5" s="128"/>
      <c r="I5" s="128"/>
      <c r="J5" s="128"/>
      <c r="K5" s="128"/>
      <c r="L5" s="128"/>
      <c r="M5" s="128"/>
      <c r="N5" s="128"/>
      <c r="O5" s="128"/>
      <c r="P5" s="128"/>
      <c r="Q5" s="128"/>
      <c r="R5" s="128"/>
      <c r="S5" s="128"/>
      <c r="T5" s="129"/>
      <c r="W5" s="68" t="s">
        <v>2123</v>
      </c>
      <c r="X5" s="69" t="s">
        <v>2124</v>
      </c>
      <c r="Y5" s="69" t="s">
        <v>2125</v>
      </c>
      <c r="Z5" s="69" t="s">
        <v>2126</v>
      </c>
      <c r="AA5" s="70" t="s">
        <v>2127</v>
      </c>
    </row>
    <row r="6" spans="1:27" ht="30.45" customHeight="1">
      <c r="A6" s="130" t="s">
        <v>173</v>
      </c>
      <c r="B6" s="131"/>
      <c r="C6" s="131" t="s">
        <v>174</v>
      </c>
      <c r="D6" s="131"/>
      <c r="E6" s="131" t="s">
        <v>175</v>
      </c>
      <c r="F6" s="131"/>
      <c r="G6" s="131" t="s">
        <v>180</v>
      </c>
      <c r="H6" s="131"/>
      <c r="I6" s="131" t="s">
        <v>184</v>
      </c>
      <c r="J6" s="131"/>
      <c r="K6" s="131" t="s">
        <v>185</v>
      </c>
      <c r="L6" s="131"/>
      <c r="M6" s="131" t="s">
        <v>186</v>
      </c>
      <c r="N6" s="131"/>
      <c r="O6" s="131" t="s">
        <v>187</v>
      </c>
      <c r="P6" s="131"/>
      <c r="Q6" s="131"/>
      <c r="R6" s="131"/>
      <c r="S6" s="131"/>
      <c r="T6" s="132"/>
      <c r="W6" s="68" t="s">
        <v>2128</v>
      </c>
      <c r="X6" s="69" t="s">
        <v>2129</v>
      </c>
      <c r="Y6" s="69" t="s">
        <v>2130</v>
      </c>
      <c r="Z6" s="69" t="s">
        <v>2131</v>
      </c>
      <c r="AA6" s="70" t="s">
        <v>2132</v>
      </c>
    </row>
    <row r="7" spans="1:27" ht="30.45" customHeight="1">
      <c r="A7" s="133">
        <f>COUNTIF(F22:T22,"Passed")</f>
        <v>0</v>
      </c>
      <c r="B7" s="134"/>
      <c r="C7" s="134">
        <f>COUNTIF(F22:T22,"Failed")</f>
        <v>0</v>
      </c>
      <c r="D7" s="134"/>
      <c r="E7" s="134">
        <f>COUNTIF(F22:T22,"Blocked")</f>
        <v>0</v>
      </c>
      <c r="F7" s="134"/>
      <c r="G7" s="134">
        <f>15-A7-C7-E7</f>
        <v>15</v>
      </c>
      <c r="H7" s="134"/>
      <c r="I7" s="134">
        <f>COUNTIF(F21:T21,"N")</f>
        <v>6</v>
      </c>
      <c r="J7" s="134"/>
      <c r="K7" s="134">
        <f>COUNTIF(F21:T21,"A")</f>
        <v>4</v>
      </c>
      <c r="L7" s="134"/>
      <c r="M7" s="134">
        <f>COUNTIF(F21:T21,"B")</f>
        <v>5</v>
      </c>
      <c r="N7" s="134"/>
      <c r="O7" s="134">
        <v>15</v>
      </c>
      <c r="P7" s="134"/>
      <c r="Q7" s="134"/>
      <c r="R7" s="134"/>
      <c r="S7" s="134"/>
      <c r="T7" s="135"/>
      <c r="W7" s="68" t="s">
        <v>2133</v>
      </c>
      <c r="X7" s="69" t="s">
        <v>2134</v>
      </c>
      <c r="Y7" s="69" t="s">
        <v>2135</v>
      </c>
      <c r="Z7" s="69" t="s">
        <v>2136</v>
      </c>
      <c r="AA7" s="70" t="s">
        <v>2137</v>
      </c>
    </row>
    <row r="8" spans="1:27" ht="30.45" customHeight="1">
      <c r="A8" s="1"/>
      <c r="B8" s="1"/>
      <c r="C8" s="1"/>
      <c r="D8" s="1"/>
      <c r="E8" s="1"/>
      <c r="F8" s="1"/>
      <c r="G8" s="1"/>
      <c r="H8" s="1"/>
      <c r="I8" s="1"/>
      <c r="J8" s="1"/>
      <c r="K8" s="1"/>
      <c r="L8" s="1"/>
      <c r="M8" s="1"/>
      <c r="N8" s="1"/>
      <c r="O8" s="1"/>
      <c r="P8" s="1"/>
      <c r="Q8" s="1"/>
      <c r="R8" s="1"/>
      <c r="S8" s="1"/>
      <c r="T8" s="1"/>
      <c r="W8" s="71" t="s">
        <v>2138</v>
      </c>
      <c r="X8" s="72" t="s">
        <v>2139</v>
      </c>
      <c r="Y8" s="72" t="s">
        <v>2140</v>
      </c>
      <c r="Z8" s="72" t="s">
        <v>2141</v>
      </c>
      <c r="AA8" s="73" t="s">
        <v>2142</v>
      </c>
    </row>
    <row r="9" spans="1:27" ht="35.25" customHeight="1">
      <c r="A9" s="42"/>
      <c r="B9" s="43"/>
      <c r="C9" s="43"/>
      <c r="D9" s="43"/>
      <c r="E9" s="43"/>
      <c r="F9" s="43" t="s">
        <v>2143</v>
      </c>
      <c r="G9" s="43" t="s">
        <v>2144</v>
      </c>
      <c r="H9" s="43" t="s">
        <v>2145</v>
      </c>
      <c r="I9" s="43" t="s">
        <v>2146</v>
      </c>
      <c r="J9" s="43" t="s">
        <v>2147</v>
      </c>
      <c r="K9" s="43" t="s">
        <v>2148</v>
      </c>
      <c r="L9" s="43" t="s">
        <v>2149</v>
      </c>
      <c r="M9" s="43" t="s">
        <v>2150</v>
      </c>
      <c r="N9" s="43" t="s">
        <v>2151</v>
      </c>
      <c r="O9" s="43" t="s">
        <v>2152</v>
      </c>
      <c r="P9" s="43" t="s">
        <v>2153</v>
      </c>
      <c r="Q9" s="43" t="s">
        <v>2154</v>
      </c>
      <c r="R9" s="43" t="s">
        <v>2155</v>
      </c>
      <c r="S9" s="43" t="s">
        <v>2156</v>
      </c>
      <c r="T9" s="44" t="s">
        <v>2157</v>
      </c>
      <c r="W9" s="139" t="s">
        <v>247</v>
      </c>
      <c r="X9" s="140"/>
      <c r="Y9" s="140"/>
      <c r="Z9" s="140"/>
      <c r="AA9" s="141"/>
    </row>
    <row r="10" spans="1:27" ht="38.4" customHeight="1">
      <c r="A10" s="136" t="s">
        <v>248</v>
      </c>
      <c r="B10" s="41" t="s">
        <v>249</v>
      </c>
      <c r="C10" s="41"/>
      <c r="D10" s="41"/>
      <c r="E10" s="41"/>
      <c r="F10" s="3" t="s">
        <v>2158</v>
      </c>
      <c r="G10" s="3" t="s">
        <v>2159</v>
      </c>
      <c r="H10" s="3" t="s">
        <v>2160</v>
      </c>
      <c r="I10" s="3" t="s">
        <v>2161</v>
      </c>
      <c r="J10" s="3" t="s">
        <v>2162</v>
      </c>
      <c r="K10" s="3" t="s">
        <v>2163</v>
      </c>
      <c r="L10" s="3" t="s">
        <v>2164</v>
      </c>
      <c r="M10" s="3" t="s">
        <v>2165</v>
      </c>
      <c r="N10" s="3" t="s">
        <v>2166</v>
      </c>
      <c r="O10" s="3" t="s">
        <v>2167</v>
      </c>
      <c r="P10" s="3" t="s">
        <v>2168</v>
      </c>
      <c r="Q10" s="3" t="s">
        <v>2169</v>
      </c>
      <c r="R10" s="3" t="s">
        <v>2170</v>
      </c>
      <c r="S10" s="3" t="s">
        <v>2171</v>
      </c>
      <c r="T10" s="7" t="s">
        <v>2172</v>
      </c>
    </row>
    <row r="11" spans="1:27" ht="35.25" customHeight="1">
      <c r="A11" s="136"/>
      <c r="B11" s="41" t="s">
        <v>261</v>
      </c>
      <c r="C11" s="41"/>
      <c r="D11" s="41"/>
      <c r="E11" s="41"/>
      <c r="F11" s="3" t="s">
        <v>2173</v>
      </c>
      <c r="G11" s="3" t="s">
        <v>2173</v>
      </c>
      <c r="H11" s="3" t="s">
        <v>2174</v>
      </c>
      <c r="I11" s="3" t="s">
        <v>2174</v>
      </c>
      <c r="J11" s="3" t="s">
        <v>2175</v>
      </c>
      <c r="K11" s="3" t="s">
        <v>2176</v>
      </c>
      <c r="L11" s="3" t="s">
        <v>2177</v>
      </c>
      <c r="M11" s="3" t="s">
        <v>2178</v>
      </c>
      <c r="N11" s="3" t="s">
        <v>2178</v>
      </c>
      <c r="O11" s="3" t="s">
        <v>2179</v>
      </c>
      <c r="P11" s="3" t="s">
        <v>2130</v>
      </c>
      <c r="Q11" s="3" t="s">
        <v>2180</v>
      </c>
      <c r="R11" s="3" t="s">
        <v>2181</v>
      </c>
      <c r="S11" s="3" t="s">
        <v>2182</v>
      </c>
      <c r="T11" s="7" t="s">
        <v>2176</v>
      </c>
    </row>
    <row r="12" spans="1:27" ht="22.35" customHeight="1">
      <c r="A12" s="136"/>
      <c r="B12" s="41" t="s">
        <v>274</v>
      </c>
      <c r="C12" s="41"/>
      <c r="D12" s="41"/>
      <c r="E12" s="41"/>
      <c r="F12" s="3" t="s">
        <v>2183</v>
      </c>
      <c r="G12" s="3" t="s">
        <v>2184</v>
      </c>
      <c r="H12" s="3" t="s">
        <v>2185</v>
      </c>
      <c r="I12" s="3" t="s">
        <v>2186</v>
      </c>
      <c r="J12" s="3" t="s">
        <v>2187</v>
      </c>
      <c r="K12" s="3" t="s">
        <v>2188</v>
      </c>
      <c r="L12" s="3" t="s">
        <v>2189</v>
      </c>
      <c r="M12" s="3" t="s">
        <v>625</v>
      </c>
      <c r="N12" s="3" t="s">
        <v>2190</v>
      </c>
      <c r="O12" s="3" t="s">
        <v>633</v>
      </c>
      <c r="P12" s="3" t="s">
        <v>2191</v>
      </c>
      <c r="Q12" s="3" t="s">
        <v>2192</v>
      </c>
      <c r="R12" s="3" t="s">
        <v>2193</v>
      </c>
      <c r="S12" s="3" t="s">
        <v>2194</v>
      </c>
      <c r="T12" s="7" t="s">
        <v>2195</v>
      </c>
      <c r="W12" s="138" t="s">
        <v>287</v>
      </c>
      <c r="X12" s="138"/>
      <c r="Y12" s="138"/>
      <c r="Z12" s="138"/>
      <c r="AA12" s="138"/>
    </row>
    <row r="13" spans="1:27" ht="22.35" customHeight="1">
      <c r="A13" s="136"/>
      <c r="B13" s="41" t="s">
        <v>288</v>
      </c>
      <c r="C13" s="41"/>
      <c r="D13" s="41"/>
      <c r="E13" s="41"/>
      <c r="F13" s="3" t="s">
        <v>2196</v>
      </c>
      <c r="G13" s="3" t="s">
        <v>2197</v>
      </c>
      <c r="H13" s="3" t="s">
        <v>292</v>
      </c>
      <c r="I13" s="3" t="s">
        <v>292</v>
      </c>
      <c r="J13" s="3" t="s">
        <v>2198</v>
      </c>
      <c r="K13" s="3" t="s">
        <v>292</v>
      </c>
      <c r="L13" s="3" t="s">
        <v>292</v>
      </c>
      <c r="M13" s="3" t="s">
        <v>2189</v>
      </c>
      <c r="N13" s="3" t="s">
        <v>304</v>
      </c>
      <c r="O13" s="3" t="s">
        <v>2199</v>
      </c>
      <c r="P13" s="3" t="s">
        <v>292</v>
      </c>
      <c r="Q13" s="3" t="s">
        <v>1835</v>
      </c>
      <c r="R13" s="3" t="s">
        <v>292</v>
      </c>
      <c r="S13" s="3" t="s">
        <v>1835</v>
      </c>
      <c r="T13" s="7" t="s">
        <v>2200</v>
      </c>
      <c r="W13" s="65" t="s">
        <v>299</v>
      </c>
      <c r="X13" s="66" t="s">
        <v>300</v>
      </c>
      <c r="Y13" s="66" t="s">
        <v>301</v>
      </c>
      <c r="Z13" s="66" t="s">
        <v>302</v>
      </c>
      <c r="AA13" s="67" t="s">
        <v>303</v>
      </c>
    </row>
    <row r="14" spans="1:27" ht="30.45" customHeight="1">
      <c r="A14" s="136" t="s">
        <v>304</v>
      </c>
      <c r="B14" s="41" t="s">
        <v>305</v>
      </c>
      <c r="C14" s="41"/>
      <c r="D14" s="41"/>
      <c r="E14" s="41"/>
      <c r="F14" s="3" t="s">
        <v>2201</v>
      </c>
      <c r="G14" s="3" t="s">
        <v>2202</v>
      </c>
      <c r="H14" s="3" t="s">
        <v>2202</v>
      </c>
      <c r="I14" s="3" t="s">
        <v>2202</v>
      </c>
      <c r="J14" s="3" t="s">
        <v>2203</v>
      </c>
      <c r="K14" s="3" t="s">
        <v>2202</v>
      </c>
      <c r="L14" s="3" t="s">
        <v>2204</v>
      </c>
      <c r="M14" s="3" t="s">
        <v>2205</v>
      </c>
      <c r="N14" s="3" t="s">
        <v>496</v>
      </c>
      <c r="O14" s="3" t="s">
        <v>496</v>
      </c>
      <c r="P14" s="3" t="s">
        <v>1633</v>
      </c>
      <c r="Q14" s="3" t="s">
        <v>2202</v>
      </c>
      <c r="R14" s="3" t="s">
        <v>2206</v>
      </c>
      <c r="S14" s="3" t="s">
        <v>2206</v>
      </c>
      <c r="T14" s="7" t="s">
        <v>2207</v>
      </c>
      <c r="W14" s="74">
        <v>1</v>
      </c>
      <c r="X14" s="76" t="s">
        <v>357</v>
      </c>
      <c r="Y14" s="69" t="s">
        <v>2208</v>
      </c>
      <c r="Z14" s="69" t="s">
        <v>2209</v>
      </c>
      <c r="AA14" s="78" t="s">
        <v>2143</v>
      </c>
    </row>
    <row r="15" spans="1:27" ht="30.45" customHeight="1">
      <c r="A15" s="136"/>
      <c r="B15" s="41" t="s">
        <v>319</v>
      </c>
      <c r="C15" s="41"/>
      <c r="D15" s="41"/>
      <c r="E15" s="41"/>
      <c r="F15" s="3" t="s">
        <v>2210</v>
      </c>
      <c r="G15" s="3" t="s">
        <v>2211</v>
      </c>
      <c r="H15" s="3" t="s">
        <v>2212</v>
      </c>
      <c r="I15" s="3" t="s">
        <v>2213</v>
      </c>
      <c r="J15" s="3" t="s">
        <v>2214</v>
      </c>
      <c r="K15" s="3" t="s">
        <v>2215</v>
      </c>
      <c r="L15" s="3" t="s">
        <v>2216</v>
      </c>
      <c r="M15" s="3" t="s">
        <v>2217</v>
      </c>
      <c r="N15" s="3" t="s">
        <v>2218</v>
      </c>
      <c r="O15" s="3" t="s">
        <v>671</v>
      </c>
      <c r="P15" s="3" t="s">
        <v>2219</v>
      </c>
      <c r="Q15" s="3" t="s">
        <v>1815</v>
      </c>
      <c r="R15" s="3" t="s">
        <v>2220</v>
      </c>
      <c r="S15" s="3" t="s">
        <v>2221</v>
      </c>
      <c r="T15" s="7" t="s">
        <v>2195</v>
      </c>
      <c r="W15" s="74">
        <v>2</v>
      </c>
      <c r="X15" s="76" t="s">
        <v>357</v>
      </c>
      <c r="Y15" s="69" t="s">
        <v>2222</v>
      </c>
      <c r="Z15" s="69" t="s">
        <v>2223</v>
      </c>
      <c r="AA15" s="78" t="s">
        <v>2144</v>
      </c>
    </row>
    <row r="16" spans="1:27" ht="30.45" customHeight="1">
      <c r="A16" s="136"/>
      <c r="B16" s="41" t="s">
        <v>335</v>
      </c>
      <c r="C16" s="41"/>
      <c r="D16" s="41"/>
      <c r="E16" s="41"/>
      <c r="F16" s="3" t="s">
        <v>2212</v>
      </c>
      <c r="G16" s="3" t="s">
        <v>2224</v>
      </c>
      <c r="H16" s="3" t="s">
        <v>292</v>
      </c>
      <c r="I16" s="3" t="s">
        <v>2225</v>
      </c>
      <c r="J16" s="3" t="s">
        <v>2226</v>
      </c>
      <c r="K16" s="3" t="s">
        <v>2227</v>
      </c>
      <c r="L16" s="3" t="s">
        <v>2228</v>
      </c>
      <c r="M16" s="3" t="s">
        <v>1944</v>
      </c>
      <c r="N16" s="3" t="s">
        <v>304</v>
      </c>
      <c r="O16" s="3" t="s">
        <v>644</v>
      </c>
      <c r="P16" s="3" t="s">
        <v>2229</v>
      </c>
      <c r="Q16" s="3" t="s">
        <v>2230</v>
      </c>
      <c r="R16" s="3" t="s">
        <v>2231</v>
      </c>
      <c r="S16" s="3" t="s">
        <v>2232</v>
      </c>
      <c r="T16" s="7" t="s">
        <v>2233</v>
      </c>
      <c r="W16" s="74">
        <v>3</v>
      </c>
      <c r="X16" s="76" t="s">
        <v>357</v>
      </c>
      <c r="Y16" s="69" t="s">
        <v>2234</v>
      </c>
      <c r="Z16" s="69" t="s">
        <v>2235</v>
      </c>
      <c r="AA16" s="78" t="s">
        <v>2145</v>
      </c>
    </row>
    <row r="17" spans="1:27" ht="30.45" customHeight="1">
      <c r="A17" s="136"/>
      <c r="B17" s="41" t="s">
        <v>346</v>
      </c>
      <c r="C17" s="41"/>
      <c r="D17" s="41"/>
      <c r="E17" s="41"/>
      <c r="F17" s="3" t="s">
        <v>292</v>
      </c>
      <c r="G17" s="3" t="s">
        <v>292</v>
      </c>
      <c r="H17" s="3" t="s">
        <v>292</v>
      </c>
      <c r="I17" s="3" t="s">
        <v>292</v>
      </c>
      <c r="J17" s="3" t="s">
        <v>2236</v>
      </c>
      <c r="K17" s="3" t="s">
        <v>292</v>
      </c>
      <c r="L17" s="3" t="s">
        <v>2237</v>
      </c>
      <c r="M17" s="3" t="s">
        <v>644</v>
      </c>
      <c r="N17" s="3" t="s">
        <v>2238</v>
      </c>
      <c r="O17" s="3" t="s">
        <v>2239</v>
      </c>
      <c r="P17" s="3" t="s">
        <v>2083</v>
      </c>
      <c r="Q17" s="3" t="s">
        <v>2240</v>
      </c>
      <c r="R17" s="3" t="s">
        <v>1835</v>
      </c>
      <c r="S17" s="3" t="s">
        <v>1835</v>
      </c>
      <c r="T17" s="7" t="s">
        <v>2227</v>
      </c>
      <c r="W17" s="74">
        <v>4</v>
      </c>
      <c r="X17" s="76" t="s">
        <v>357</v>
      </c>
      <c r="Y17" s="69" t="s">
        <v>2241</v>
      </c>
      <c r="Z17" s="69" t="s">
        <v>2242</v>
      </c>
      <c r="AA17" s="78" t="s">
        <v>2146</v>
      </c>
    </row>
    <row r="18" spans="1:27" ht="30.45" customHeight="1">
      <c r="A18" s="136"/>
      <c r="B18" s="41" t="s">
        <v>302</v>
      </c>
      <c r="C18" s="41"/>
      <c r="D18" s="41"/>
      <c r="E18" s="41"/>
      <c r="F18" s="3" t="s">
        <v>2209</v>
      </c>
      <c r="G18" s="3" t="s">
        <v>2223</v>
      </c>
      <c r="H18" s="3" t="s">
        <v>2235</v>
      </c>
      <c r="I18" s="3" t="s">
        <v>2242</v>
      </c>
      <c r="J18" s="3" t="s">
        <v>2243</v>
      </c>
      <c r="K18" s="3" t="s">
        <v>2244</v>
      </c>
      <c r="L18" s="3" t="s">
        <v>2245</v>
      </c>
      <c r="M18" s="3" t="s">
        <v>2246</v>
      </c>
      <c r="N18" s="3" t="s">
        <v>2247</v>
      </c>
      <c r="O18" s="3" t="s">
        <v>2248</v>
      </c>
      <c r="P18" s="3" t="s">
        <v>2249</v>
      </c>
      <c r="Q18" s="3" t="s">
        <v>2250</v>
      </c>
      <c r="R18" s="3" t="s">
        <v>2251</v>
      </c>
      <c r="S18" s="3" t="s">
        <v>2252</v>
      </c>
      <c r="T18" s="7" t="s">
        <v>2253</v>
      </c>
      <c r="W18" s="74">
        <v>5</v>
      </c>
      <c r="X18" s="76" t="s">
        <v>316</v>
      </c>
      <c r="Y18" s="69" t="s">
        <v>2254</v>
      </c>
      <c r="Z18" s="69" t="s">
        <v>2243</v>
      </c>
      <c r="AA18" s="78" t="s">
        <v>2147</v>
      </c>
    </row>
    <row r="19" spans="1:27" ht="30.45" customHeight="1">
      <c r="A19" s="136"/>
      <c r="B19" s="41" t="s">
        <v>369</v>
      </c>
      <c r="C19" s="41"/>
      <c r="D19" s="41"/>
      <c r="E19" s="41"/>
      <c r="F19" s="3"/>
      <c r="G19" s="3"/>
      <c r="H19" s="3"/>
      <c r="I19" s="3"/>
      <c r="J19" s="3"/>
      <c r="K19" s="3"/>
      <c r="L19" s="3"/>
      <c r="M19" s="3"/>
      <c r="N19" s="3"/>
      <c r="O19" s="3"/>
      <c r="P19" s="3" t="s">
        <v>541</v>
      </c>
      <c r="Q19" s="3" t="s">
        <v>2169</v>
      </c>
      <c r="R19" s="3" t="s">
        <v>2193</v>
      </c>
      <c r="S19" s="3"/>
      <c r="T19" s="7"/>
      <c r="W19" s="74">
        <v>6</v>
      </c>
      <c r="X19" s="76" t="s">
        <v>316</v>
      </c>
      <c r="Y19" s="69" t="s">
        <v>2255</v>
      </c>
      <c r="Z19" s="69" t="s">
        <v>2244</v>
      </c>
      <c r="AA19" s="78" t="s">
        <v>2148</v>
      </c>
    </row>
    <row r="20" spans="1:27" ht="30.45" customHeight="1">
      <c r="A20" s="136"/>
      <c r="B20" s="41" t="s">
        <v>378</v>
      </c>
      <c r="C20" s="41"/>
      <c r="D20" s="41"/>
      <c r="E20" s="41"/>
      <c r="F20" s="3" t="s">
        <v>2256</v>
      </c>
      <c r="G20" s="3" t="s">
        <v>2257</v>
      </c>
      <c r="H20" s="3" t="s">
        <v>2258</v>
      </c>
      <c r="I20" s="3" t="s">
        <v>2259</v>
      </c>
      <c r="J20" s="3" t="s">
        <v>2260</v>
      </c>
      <c r="K20" s="3" t="s">
        <v>2261</v>
      </c>
      <c r="L20" s="3" t="s">
        <v>2262</v>
      </c>
      <c r="M20" s="3" t="s">
        <v>2263</v>
      </c>
      <c r="N20" s="3" t="s">
        <v>2264</v>
      </c>
      <c r="O20" s="3" t="s">
        <v>1704</v>
      </c>
      <c r="P20" s="3" t="s">
        <v>1704</v>
      </c>
      <c r="Q20" s="3" t="s">
        <v>2265</v>
      </c>
      <c r="R20" s="3" t="s">
        <v>2266</v>
      </c>
      <c r="S20" s="3" t="s">
        <v>2267</v>
      </c>
      <c r="T20" s="7" t="s">
        <v>2268</v>
      </c>
      <c r="W20" s="74">
        <v>7</v>
      </c>
      <c r="X20" s="76" t="s">
        <v>316</v>
      </c>
      <c r="Y20" s="69" t="s">
        <v>2269</v>
      </c>
      <c r="Z20" s="69" t="s">
        <v>2245</v>
      </c>
      <c r="AA20" s="78" t="s">
        <v>2149</v>
      </c>
    </row>
    <row r="21" spans="1:27" ht="30.45" customHeight="1">
      <c r="A21" s="136" t="s">
        <v>392</v>
      </c>
      <c r="B21" s="41" t="s">
        <v>393</v>
      </c>
      <c r="C21" s="41"/>
      <c r="D21" s="41"/>
      <c r="E21" s="41"/>
      <c r="F21" s="48" t="s">
        <v>186</v>
      </c>
      <c r="G21" s="48" t="s">
        <v>186</v>
      </c>
      <c r="H21" s="48" t="s">
        <v>186</v>
      </c>
      <c r="I21" s="48" t="s">
        <v>186</v>
      </c>
      <c r="J21" s="48" t="s">
        <v>184</v>
      </c>
      <c r="K21" s="48" t="s">
        <v>184</v>
      </c>
      <c r="L21" s="48" t="s">
        <v>184</v>
      </c>
      <c r="M21" s="48" t="s">
        <v>184</v>
      </c>
      <c r="N21" s="48" t="s">
        <v>184</v>
      </c>
      <c r="O21" s="48" t="s">
        <v>186</v>
      </c>
      <c r="P21" s="48" t="s">
        <v>185</v>
      </c>
      <c r="Q21" s="48" t="s">
        <v>185</v>
      </c>
      <c r="R21" s="48" t="s">
        <v>185</v>
      </c>
      <c r="S21" s="48" t="s">
        <v>185</v>
      </c>
      <c r="T21" s="49" t="s">
        <v>184</v>
      </c>
      <c r="W21" s="74">
        <v>8</v>
      </c>
      <c r="X21" s="76" t="s">
        <v>316</v>
      </c>
      <c r="Y21" s="69" t="s">
        <v>2270</v>
      </c>
      <c r="Z21" s="69" t="s">
        <v>2246</v>
      </c>
      <c r="AA21" s="78" t="s">
        <v>2150</v>
      </c>
    </row>
    <row r="22" spans="1:27" ht="19.2" customHeight="1">
      <c r="A22" s="136"/>
      <c r="B22" s="83" t="s">
        <v>395</v>
      </c>
      <c r="C22" s="84"/>
      <c r="D22" s="84"/>
      <c r="E22" s="85"/>
      <c r="F22" s="86"/>
      <c r="G22" s="87"/>
      <c r="H22" s="87"/>
      <c r="I22" s="87"/>
      <c r="J22" s="87"/>
      <c r="K22" s="87"/>
      <c r="L22" s="87"/>
      <c r="M22" s="87"/>
      <c r="N22" s="87"/>
      <c r="O22" s="87"/>
      <c r="P22" s="87"/>
      <c r="Q22" s="87"/>
      <c r="R22" s="87"/>
      <c r="S22" s="87"/>
      <c r="T22" s="88"/>
      <c r="W22" s="74">
        <v>9</v>
      </c>
      <c r="X22" s="76" t="s">
        <v>316</v>
      </c>
      <c r="Y22" s="69" t="s">
        <v>2271</v>
      </c>
      <c r="Z22" s="69" t="s">
        <v>2247</v>
      </c>
      <c r="AA22" s="78" t="s">
        <v>2151</v>
      </c>
    </row>
    <row r="23" spans="1:27" ht="30.45" customHeight="1">
      <c r="A23" s="136"/>
      <c r="B23" s="41" t="s">
        <v>397</v>
      </c>
      <c r="C23" s="41"/>
      <c r="D23" s="41"/>
      <c r="E23" s="41"/>
      <c r="F23" s="50"/>
      <c r="G23" s="50"/>
      <c r="H23" s="50"/>
      <c r="I23" s="50"/>
      <c r="J23" s="50"/>
      <c r="K23" s="50"/>
      <c r="L23" s="50"/>
      <c r="M23" s="50"/>
      <c r="N23" s="50"/>
      <c r="O23" s="50"/>
      <c r="P23" s="50"/>
      <c r="Q23" s="50"/>
      <c r="R23" s="50"/>
      <c r="S23" s="50"/>
      <c r="T23" s="51"/>
      <c r="W23" s="74">
        <v>10</v>
      </c>
      <c r="X23" s="76" t="s">
        <v>357</v>
      </c>
      <c r="Y23" s="69" t="s">
        <v>2272</v>
      </c>
      <c r="Z23" s="69" t="s">
        <v>2248</v>
      </c>
      <c r="AA23" s="78" t="s">
        <v>2152</v>
      </c>
    </row>
    <row r="24" spans="1:27" ht="30.45" customHeight="1">
      <c r="A24" s="137"/>
      <c r="B24" s="45" t="s">
        <v>399</v>
      </c>
      <c r="C24" s="45"/>
      <c r="D24" s="45"/>
      <c r="E24" s="45"/>
      <c r="F24" s="46"/>
      <c r="G24" s="46"/>
      <c r="H24" s="46"/>
      <c r="I24" s="46"/>
      <c r="J24" s="46"/>
      <c r="K24" s="46"/>
      <c r="L24" s="46"/>
      <c r="M24" s="46"/>
      <c r="N24" s="46"/>
      <c r="O24" s="46"/>
      <c r="P24" s="46"/>
      <c r="Q24" s="46"/>
      <c r="R24" s="46"/>
      <c r="S24" s="46"/>
      <c r="T24" s="47"/>
      <c r="W24" s="74">
        <v>11</v>
      </c>
      <c r="X24" s="76" t="s">
        <v>332</v>
      </c>
      <c r="Y24" s="69" t="s">
        <v>2273</v>
      </c>
      <c r="Z24" s="69" t="s">
        <v>2249</v>
      </c>
      <c r="AA24" s="78" t="s">
        <v>2153</v>
      </c>
    </row>
    <row r="25" spans="1:27" ht="30.45" customHeight="1">
      <c r="W25" s="74">
        <v>12</v>
      </c>
      <c r="X25" s="76" t="s">
        <v>332</v>
      </c>
      <c r="Y25" s="69" t="s">
        <v>2274</v>
      </c>
      <c r="Z25" s="69" t="s">
        <v>2250</v>
      </c>
      <c r="AA25" s="78" t="s">
        <v>2154</v>
      </c>
    </row>
    <row r="26" spans="1:27" ht="30.45" customHeight="1">
      <c r="W26" s="74">
        <v>13</v>
      </c>
      <c r="X26" s="76" t="s">
        <v>332</v>
      </c>
      <c r="Y26" s="69" t="s">
        <v>2275</v>
      </c>
      <c r="Z26" s="69" t="s">
        <v>2251</v>
      </c>
      <c r="AA26" s="78" t="s">
        <v>2155</v>
      </c>
    </row>
    <row r="27" spans="1:27" ht="30.45" customHeight="1">
      <c r="W27" s="74">
        <v>14</v>
      </c>
      <c r="X27" s="76" t="s">
        <v>332</v>
      </c>
      <c r="Y27" s="69" t="s">
        <v>2276</v>
      </c>
      <c r="Z27" s="69" t="s">
        <v>2252</v>
      </c>
      <c r="AA27" s="78" t="s">
        <v>2156</v>
      </c>
    </row>
    <row r="28" spans="1:27" ht="30.45" customHeight="1">
      <c r="W28" s="75">
        <v>15</v>
      </c>
      <c r="X28" s="77" t="s">
        <v>316</v>
      </c>
      <c r="Y28" s="72" t="s">
        <v>2277</v>
      </c>
      <c r="Z28" s="72" t="s">
        <v>2253</v>
      </c>
      <c r="AA28" s="79" t="s">
        <v>2157</v>
      </c>
    </row>
  </sheetData>
  <mergeCells count="34">
    <mergeCell ref="A21:A24"/>
    <mergeCell ref="W2:AA2"/>
    <mergeCell ref="W9:AA9"/>
    <mergeCell ref="W12:AA12"/>
    <mergeCell ref="K7:L7"/>
    <mergeCell ref="M7:N7"/>
    <mergeCell ref="O7:T7"/>
    <mergeCell ref="A10:A13"/>
    <mergeCell ref="A14:A20"/>
    <mergeCell ref="A7:B7"/>
    <mergeCell ref="C7:D7"/>
    <mergeCell ref="E7:F7"/>
    <mergeCell ref="G7:H7"/>
    <mergeCell ref="I7:J7"/>
    <mergeCell ref="A4:B4"/>
    <mergeCell ref="C4:T4"/>
    <mergeCell ref="A5:B5"/>
    <mergeCell ref="C5:T5"/>
    <mergeCell ref="A6:B6"/>
    <mergeCell ref="C6:D6"/>
    <mergeCell ref="E6:F6"/>
    <mergeCell ref="G6:H6"/>
    <mergeCell ref="I6:J6"/>
    <mergeCell ref="K6:L6"/>
    <mergeCell ref="M6:N6"/>
    <mergeCell ref="O6:T6"/>
    <mergeCell ref="A2:B2"/>
    <mergeCell ref="C2:D2"/>
    <mergeCell ref="F2:G2"/>
    <mergeCell ref="H2:T2"/>
    <mergeCell ref="A3:B3"/>
    <mergeCell ref="C3:D3"/>
    <mergeCell ref="F3:G3"/>
    <mergeCell ref="H3:T3"/>
  </mergeCells>
  <conditionalFormatting sqref="F22:T22">
    <cfRule type="expression" dxfId="14" priority="1">
      <formula>F22="Passed"</formula>
    </cfRule>
    <cfRule type="expression" dxfId="13" priority="2">
      <formula>F22="Failed"</formula>
    </cfRule>
    <cfRule type="expression" dxfId="12" priority="3">
      <formula>F22="Blocked"</formula>
    </cfRule>
  </conditionalFormatting>
  <dataValidations count="1">
    <dataValidation type="list" sqref="F22:T22" xr:uid="{00000000-0002-0000-1000-000000000000}">
      <formula1>"Passed,Failed,Blocked"</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A24"/>
  <sheetViews>
    <sheetView workbookViewId="0"/>
  </sheetViews>
  <sheetFormatPr defaultRowHeight="13.8"/>
  <cols>
    <col min="1" max="1" width="15" customWidth="1"/>
    <col min="2" max="5" width="16" customWidth="1"/>
    <col min="6" max="15" width="20" customWidth="1"/>
    <col min="23" max="24" width="20" customWidth="1"/>
    <col min="25" max="26" width="38" customWidth="1"/>
    <col min="27" max="27" width="16" customWidth="1"/>
  </cols>
  <sheetData>
    <row r="1" spans="1:27">
      <c r="A1" s="1"/>
      <c r="B1" s="1"/>
      <c r="C1" s="1"/>
      <c r="D1" s="1"/>
      <c r="E1" s="1"/>
      <c r="F1" s="1"/>
      <c r="G1" s="1"/>
      <c r="H1" s="1"/>
      <c r="I1" s="1"/>
      <c r="J1" s="1"/>
      <c r="K1" s="1"/>
      <c r="L1" s="1"/>
      <c r="M1" s="1"/>
      <c r="N1" s="1"/>
      <c r="O1" s="1"/>
    </row>
    <row r="2" spans="1:27" ht="22.35" customHeight="1">
      <c r="A2" s="122" t="s">
        <v>199</v>
      </c>
      <c r="B2" s="123"/>
      <c r="C2" s="124" t="s">
        <v>149</v>
      </c>
      <c r="D2" s="124"/>
      <c r="E2" s="18"/>
      <c r="F2" s="123" t="s">
        <v>63</v>
      </c>
      <c r="G2" s="123"/>
      <c r="H2" s="124" t="s">
        <v>148</v>
      </c>
      <c r="I2" s="124"/>
      <c r="J2" s="124"/>
      <c r="K2" s="124"/>
      <c r="L2" s="124"/>
      <c r="M2" s="124"/>
      <c r="N2" s="124"/>
      <c r="O2" s="125"/>
      <c r="W2" s="138" t="s">
        <v>200</v>
      </c>
      <c r="X2" s="138"/>
      <c r="Y2" s="138"/>
      <c r="Z2" s="138"/>
      <c r="AA2" s="138"/>
    </row>
    <row r="3" spans="1:27" ht="22.35" customHeight="1">
      <c r="A3" s="126" t="s">
        <v>201</v>
      </c>
      <c r="B3" s="127"/>
      <c r="C3" s="128" t="s">
        <v>37</v>
      </c>
      <c r="D3" s="128"/>
      <c r="E3" s="1"/>
      <c r="F3" s="127" t="s">
        <v>202</v>
      </c>
      <c r="G3" s="127"/>
      <c r="H3" s="128"/>
      <c r="I3" s="128"/>
      <c r="J3" s="128"/>
      <c r="K3" s="128"/>
      <c r="L3" s="128"/>
      <c r="M3" s="128"/>
      <c r="N3" s="128"/>
      <c r="O3" s="129"/>
      <c r="W3" s="65" t="s">
        <v>203</v>
      </c>
      <c r="X3" s="66" t="s">
        <v>204</v>
      </c>
      <c r="Y3" s="66" t="s">
        <v>205</v>
      </c>
      <c r="Z3" s="66" t="s">
        <v>206</v>
      </c>
      <c r="AA3" s="67" t="s">
        <v>207</v>
      </c>
    </row>
    <row r="4" spans="1:27" ht="30.45" customHeight="1">
      <c r="A4" s="126" t="s">
        <v>208</v>
      </c>
      <c r="B4" s="127"/>
      <c r="C4" s="128" t="s">
        <v>2278</v>
      </c>
      <c r="D4" s="128"/>
      <c r="E4" s="128"/>
      <c r="F4" s="128"/>
      <c r="G4" s="128"/>
      <c r="H4" s="128"/>
      <c r="I4" s="128"/>
      <c r="J4" s="128"/>
      <c r="K4" s="128"/>
      <c r="L4" s="128"/>
      <c r="M4" s="128"/>
      <c r="N4" s="128"/>
      <c r="O4" s="129"/>
      <c r="W4" s="68" t="s">
        <v>2279</v>
      </c>
      <c r="X4" s="69" t="s">
        <v>2280</v>
      </c>
      <c r="Y4" s="69" t="s">
        <v>2281</v>
      </c>
      <c r="Z4" s="69" t="s">
        <v>2282</v>
      </c>
      <c r="AA4" s="70" t="s">
        <v>2283</v>
      </c>
    </row>
    <row r="5" spans="1:27" ht="30.45" customHeight="1">
      <c r="A5" s="126" t="s">
        <v>215</v>
      </c>
      <c r="B5" s="127"/>
      <c r="C5" s="128" t="s">
        <v>146</v>
      </c>
      <c r="D5" s="128"/>
      <c r="E5" s="128"/>
      <c r="F5" s="128"/>
      <c r="G5" s="128"/>
      <c r="H5" s="128"/>
      <c r="I5" s="128"/>
      <c r="J5" s="128"/>
      <c r="K5" s="128"/>
      <c r="L5" s="128"/>
      <c r="M5" s="128"/>
      <c r="N5" s="128"/>
      <c r="O5" s="129"/>
      <c r="W5" s="68" t="s">
        <v>2284</v>
      </c>
      <c r="X5" s="69" t="s">
        <v>2285</v>
      </c>
      <c r="Y5" s="69" t="s">
        <v>2286</v>
      </c>
      <c r="Z5" s="69" t="s">
        <v>2287</v>
      </c>
      <c r="AA5" s="70" t="s">
        <v>2288</v>
      </c>
    </row>
    <row r="6" spans="1:27" ht="30.45" customHeight="1">
      <c r="A6" s="130" t="s">
        <v>173</v>
      </c>
      <c r="B6" s="131"/>
      <c r="C6" s="131" t="s">
        <v>174</v>
      </c>
      <c r="D6" s="131"/>
      <c r="E6" s="131" t="s">
        <v>175</v>
      </c>
      <c r="F6" s="131"/>
      <c r="G6" s="131" t="s">
        <v>180</v>
      </c>
      <c r="H6" s="131"/>
      <c r="I6" s="131" t="s">
        <v>184</v>
      </c>
      <c r="J6" s="131"/>
      <c r="K6" s="131" t="s">
        <v>185</v>
      </c>
      <c r="L6" s="131"/>
      <c r="M6" s="131" t="s">
        <v>186</v>
      </c>
      <c r="N6" s="131"/>
      <c r="O6" s="39" t="s">
        <v>187</v>
      </c>
      <c r="W6" s="68" t="s">
        <v>2289</v>
      </c>
      <c r="X6" s="69" t="s">
        <v>2290</v>
      </c>
      <c r="Y6" s="69" t="s">
        <v>2291</v>
      </c>
      <c r="Z6" s="69" t="s">
        <v>2292</v>
      </c>
      <c r="AA6" s="70" t="s">
        <v>2293</v>
      </c>
    </row>
    <row r="7" spans="1:27" ht="30.45" customHeight="1">
      <c r="A7" s="133">
        <f>COUNTIF(F22:O22,"Passed")</f>
        <v>0</v>
      </c>
      <c r="B7" s="134"/>
      <c r="C7" s="134">
        <f>COUNTIF(F22:O22,"Failed")</f>
        <v>0</v>
      </c>
      <c r="D7" s="134"/>
      <c r="E7" s="134">
        <f>COUNTIF(F22:O22,"Blocked")</f>
        <v>0</v>
      </c>
      <c r="F7" s="134"/>
      <c r="G7" s="134">
        <f>10-A7-C7-E7</f>
        <v>10</v>
      </c>
      <c r="H7" s="134"/>
      <c r="I7" s="134">
        <f>COUNTIF(F21:O21,"N")</f>
        <v>5</v>
      </c>
      <c r="J7" s="134"/>
      <c r="K7" s="134">
        <f>COUNTIF(F21:O21,"A")</f>
        <v>3</v>
      </c>
      <c r="L7" s="134"/>
      <c r="M7" s="134">
        <f>COUNTIF(F21:O21,"B")</f>
        <v>2</v>
      </c>
      <c r="N7" s="134"/>
      <c r="O7" s="40">
        <v>10</v>
      </c>
      <c r="W7" s="68" t="s">
        <v>2294</v>
      </c>
      <c r="X7" s="69" t="s">
        <v>2295</v>
      </c>
      <c r="Y7" s="69" t="s">
        <v>2296</v>
      </c>
      <c r="Z7" s="69" t="s">
        <v>2297</v>
      </c>
      <c r="AA7" s="70" t="s">
        <v>2298</v>
      </c>
    </row>
    <row r="8" spans="1:27" ht="30.45" customHeight="1">
      <c r="A8" s="1"/>
      <c r="B8" s="1"/>
      <c r="C8" s="1"/>
      <c r="D8" s="1"/>
      <c r="E8" s="1"/>
      <c r="F8" s="1"/>
      <c r="G8" s="1"/>
      <c r="H8" s="1"/>
      <c r="I8" s="1"/>
      <c r="J8" s="1"/>
      <c r="K8" s="1"/>
      <c r="L8" s="1"/>
      <c r="M8" s="1"/>
      <c r="N8" s="1"/>
      <c r="O8" s="1"/>
      <c r="W8" s="71" t="s">
        <v>2299</v>
      </c>
      <c r="X8" s="72" t="s">
        <v>2300</v>
      </c>
      <c r="Y8" s="72" t="s">
        <v>2301</v>
      </c>
      <c r="Z8" s="72" t="s">
        <v>2302</v>
      </c>
      <c r="AA8" s="73" t="s">
        <v>2303</v>
      </c>
    </row>
    <row r="9" spans="1:27" ht="35.25" customHeight="1">
      <c r="A9" s="42"/>
      <c r="B9" s="43"/>
      <c r="C9" s="43"/>
      <c r="D9" s="43"/>
      <c r="E9" s="43"/>
      <c r="F9" s="43" t="s">
        <v>2304</v>
      </c>
      <c r="G9" s="43" t="s">
        <v>2305</v>
      </c>
      <c r="H9" s="43" t="s">
        <v>2306</v>
      </c>
      <c r="I9" s="43" t="s">
        <v>2307</v>
      </c>
      <c r="J9" s="43" t="s">
        <v>2308</v>
      </c>
      <c r="K9" s="43" t="s">
        <v>2309</v>
      </c>
      <c r="L9" s="43" t="s">
        <v>2310</v>
      </c>
      <c r="M9" s="43" t="s">
        <v>2311</v>
      </c>
      <c r="N9" s="43" t="s">
        <v>2312</v>
      </c>
      <c r="O9" s="44" t="s">
        <v>2313</v>
      </c>
      <c r="W9" s="139" t="s">
        <v>247</v>
      </c>
      <c r="X9" s="140"/>
      <c r="Y9" s="140"/>
      <c r="Z9" s="140"/>
      <c r="AA9" s="141"/>
    </row>
    <row r="10" spans="1:27" ht="38.4" customHeight="1">
      <c r="A10" s="136" t="s">
        <v>248</v>
      </c>
      <c r="B10" s="41" t="s">
        <v>249</v>
      </c>
      <c r="C10" s="41"/>
      <c r="D10" s="41"/>
      <c r="E10" s="41"/>
      <c r="F10" s="3" t="s">
        <v>2314</v>
      </c>
      <c r="G10" s="3" t="s">
        <v>2315</v>
      </c>
      <c r="H10" s="3" t="s">
        <v>2316</v>
      </c>
      <c r="I10" s="3" t="s">
        <v>2317</v>
      </c>
      <c r="J10" s="3" t="s">
        <v>2318</v>
      </c>
      <c r="K10" s="3" t="s">
        <v>2319</v>
      </c>
      <c r="L10" s="3" t="s">
        <v>2320</v>
      </c>
      <c r="M10" s="3" t="s">
        <v>2321</v>
      </c>
      <c r="N10" s="3" t="s">
        <v>1767</v>
      </c>
      <c r="O10" s="7" t="s">
        <v>2322</v>
      </c>
    </row>
    <row r="11" spans="1:27" ht="35.25" customHeight="1">
      <c r="A11" s="136"/>
      <c r="B11" s="41" t="s">
        <v>261</v>
      </c>
      <c r="C11" s="41"/>
      <c r="D11" s="41"/>
      <c r="E11" s="41"/>
      <c r="F11" s="3" t="s">
        <v>2323</v>
      </c>
      <c r="G11" s="3" t="s">
        <v>2324</v>
      </c>
      <c r="H11" s="3" t="s">
        <v>2325</v>
      </c>
      <c r="I11" s="3" t="s">
        <v>2326</v>
      </c>
      <c r="J11" s="3" t="s">
        <v>2327</v>
      </c>
      <c r="K11" s="3" t="s">
        <v>2328</v>
      </c>
      <c r="L11" s="3" t="s">
        <v>2329</v>
      </c>
      <c r="M11" s="3" t="s">
        <v>2330</v>
      </c>
      <c r="N11" s="3" t="s">
        <v>2331</v>
      </c>
      <c r="O11" s="7" t="s">
        <v>2332</v>
      </c>
    </row>
    <row r="12" spans="1:27" ht="22.35" customHeight="1">
      <c r="A12" s="136"/>
      <c r="B12" s="41" t="s">
        <v>274</v>
      </c>
      <c r="C12" s="41"/>
      <c r="D12" s="41"/>
      <c r="E12" s="41"/>
      <c r="F12" s="3" t="s">
        <v>2333</v>
      </c>
      <c r="G12" s="3" t="s">
        <v>2334</v>
      </c>
      <c r="H12" s="3" t="s">
        <v>2335</v>
      </c>
      <c r="I12" s="3" t="s">
        <v>2336</v>
      </c>
      <c r="J12" s="3" t="s">
        <v>2337</v>
      </c>
      <c r="K12" s="3" t="s">
        <v>2338</v>
      </c>
      <c r="L12" s="3" t="s">
        <v>2339</v>
      </c>
      <c r="M12" s="3" t="s">
        <v>2340</v>
      </c>
      <c r="N12" s="3" t="s">
        <v>1797</v>
      </c>
      <c r="O12" s="7" t="s">
        <v>2341</v>
      </c>
      <c r="W12" s="138" t="s">
        <v>287</v>
      </c>
      <c r="X12" s="138"/>
      <c r="Y12" s="138"/>
      <c r="Z12" s="138"/>
      <c r="AA12" s="138"/>
    </row>
    <row r="13" spans="1:27" ht="22.35" customHeight="1">
      <c r="A13" s="136"/>
      <c r="B13" s="41" t="s">
        <v>288</v>
      </c>
      <c r="C13" s="41"/>
      <c r="D13" s="41"/>
      <c r="E13" s="41"/>
      <c r="F13" s="3" t="s">
        <v>2342</v>
      </c>
      <c r="G13" s="3" t="s">
        <v>2343</v>
      </c>
      <c r="H13" s="3" t="s">
        <v>2344</v>
      </c>
      <c r="I13" s="3" t="s">
        <v>2345</v>
      </c>
      <c r="J13" s="3" t="s">
        <v>2346</v>
      </c>
      <c r="K13" s="3" t="s">
        <v>2347</v>
      </c>
      <c r="L13" s="3" t="s">
        <v>292</v>
      </c>
      <c r="M13" s="3" t="s">
        <v>2348</v>
      </c>
      <c r="N13" s="3" t="s">
        <v>1791</v>
      </c>
      <c r="O13" s="7" t="s">
        <v>2349</v>
      </c>
      <c r="W13" s="65" t="s">
        <v>299</v>
      </c>
      <c r="X13" s="66" t="s">
        <v>300</v>
      </c>
      <c r="Y13" s="66" t="s">
        <v>301</v>
      </c>
      <c r="Z13" s="66" t="s">
        <v>302</v>
      </c>
      <c r="AA13" s="67" t="s">
        <v>303</v>
      </c>
    </row>
    <row r="14" spans="1:27" ht="30.45" customHeight="1">
      <c r="A14" s="136" t="s">
        <v>304</v>
      </c>
      <c r="B14" s="41" t="s">
        <v>305</v>
      </c>
      <c r="C14" s="41"/>
      <c r="D14" s="41"/>
      <c r="E14" s="41"/>
      <c r="F14" s="3" t="s">
        <v>2350</v>
      </c>
      <c r="G14" s="3" t="s">
        <v>2351</v>
      </c>
      <c r="H14" s="3" t="s">
        <v>2351</v>
      </c>
      <c r="I14" s="3" t="s">
        <v>2351</v>
      </c>
      <c r="J14" s="3" t="s">
        <v>2352</v>
      </c>
      <c r="K14" s="3" t="s">
        <v>2351</v>
      </c>
      <c r="L14" s="3" t="s">
        <v>2353</v>
      </c>
      <c r="M14" s="3" t="s">
        <v>2354</v>
      </c>
      <c r="N14" s="3" t="s">
        <v>2351</v>
      </c>
      <c r="O14" s="7" t="s">
        <v>2355</v>
      </c>
      <c r="W14" s="74">
        <v>1</v>
      </c>
      <c r="X14" s="76" t="s">
        <v>316</v>
      </c>
      <c r="Y14" s="69" t="s">
        <v>2356</v>
      </c>
      <c r="Z14" s="69" t="s">
        <v>2357</v>
      </c>
      <c r="AA14" s="78" t="s">
        <v>2304</v>
      </c>
    </row>
    <row r="15" spans="1:27" ht="30.45" customHeight="1">
      <c r="A15" s="136"/>
      <c r="B15" s="41" t="s">
        <v>319</v>
      </c>
      <c r="C15" s="41"/>
      <c r="D15" s="41"/>
      <c r="E15" s="41"/>
      <c r="F15" s="3" t="s">
        <v>2358</v>
      </c>
      <c r="G15" s="3" t="s">
        <v>2359</v>
      </c>
      <c r="H15" s="3" t="s">
        <v>2360</v>
      </c>
      <c r="I15" s="3" t="s">
        <v>2361</v>
      </c>
      <c r="J15" s="3" t="s">
        <v>2362</v>
      </c>
      <c r="K15" s="3" t="s">
        <v>2363</v>
      </c>
      <c r="L15" s="3" t="s">
        <v>2351</v>
      </c>
      <c r="M15" s="3" t="s">
        <v>2364</v>
      </c>
      <c r="N15" s="3" t="s">
        <v>1827</v>
      </c>
      <c r="O15" s="7" t="s">
        <v>2365</v>
      </c>
      <c r="W15" s="74">
        <v>2</v>
      </c>
      <c r="X15" s="76" t="s">
        <v>316</v>
      </c>
      <c r="Y15" s="69" t="s">
        <v>2366</v>
      </c>
      <c r="Z15" s="69" t="s">
        <v>2367</v>
      </c>
      <c r="AA15" s="78" t="s">
        <v>2305</v>
      </c>
    </row>
    <row r="16" spans="1:27" ht="30.45" customHeight="1">
      <c r="A16" s="136"/>
      <c r="B16" s="41" t="s">
        <v>335</v>
      </c>
      <c r="C16" s="41"/>
      <c r="D16" s="41"/>
      <c r="E16" s="41"/>
      <c r="F16" s="3" t="s">
        <v>828</v>
      </c>
      <c r="G16" s="3" t="s">
        <v>2368</v>
      </c>
      <c r="H16" s="3" t="s">
        <v>2369</v>
      </c>
      <c r="I16" s="3" t="s">
        <v>2370</v>
      </c>
      <c r="J16" s="3" t="s">
        <v>2371</v>
      </c>
      <c r="K16" s="3" t="s">
        <v>292</v>
      </c>
      <c r="L16" s="3" t="s">
        <v>2363</v>
      </c>
      <c r="M16" s="3" t="s">
        <v>2372</v>
      </c>
      <c r="N16" s="3" t="s">
        <v>1835</v>
      </c>
      <c r="O16" s="7" t="s">
        <v>2373</v>
      </c>
      <c r="W16" s="74">
        <v>3</v>
      </c>
      <c r="X16" s="76" t="s">
        <v>316</v>
      </c>
      <c r="Y16" s="69" t="s">
        <v>2374</v>
      </c>
      <c r="Z16" s="69" t="s">
        <v>2375</v>
      </c>
      <c r="AA16" s="78" t="s">
        <v>2306</v>
      </c>
    </row>
    <row r="17" spans="1:27" ht="30.45" customHeight="1">
      <c r="A17" s="136"/>
      <c r="B17" s="41" t="s">
        <v>346</v>
      </c>
      <c r="C17" s="41"/>
      <c r="D17" s="41"/>
      <c r="E17" s="41"/>
      <c r="F17" s="3" t="s">
        <v>292</v>
      </c>
      <c r="G17" s="3" t="s">
        <v>292</v>
      </c>
      <c r="H17" s="3" t="s">
        <v>292</v>
      </c>
      <c r="I17" s="3" t="s">
        <v>292</v>
      </c>
      <c r="J17" s="3" t="s">
        <v>1650</v>
      </c>
      <c r="K17" s="3" t="s">
        <v>292</v>
      </c>
      <c r="L17" s="3" t="s">
        <v>292</v>
      </c>
      <c r="M17" s="3" t="s">
        <v>524</v>
      </c>
      <c r="N17" s="3" t="s">
        <v>2376</v>
      </c>
      <c r="O17" s="7" t="s">
        <v>292</v>
      </c>
      <c r="W17" s="74">
        <v>4</v>
      </c>
      <c r="X17" s="76" t="s">
        <v>316</v>
      </c>
      <c r="Y17" s="69" t="s">
        <v>2377</v>
      </c>
      <c r="Z17" s="69" t="s">
        <v>2378</v>
      </c>
      <c r="AA17" s="78" t="s">
        <v>2307</v>
      </c>
    </row>
    <row r="18" spans="1:27" ht="30.45" customHeight="1">
      <c r="A18" s="136"/>
      <c r="B18" s="41" t="s">
        <v>302</v>
      </c>
      <c r="C18" s="41"/>
      <c r="D18" s="41"/>
      <c r="E18" s="41"/>
      <c r="F18" s="3" t="s">
        <v>2357</v>
      </c>
      <c r="G18" s="3" t="s">
        <v>2367</v>
      </c>
      <c r="H18" s="3" t="s">
        <v>2375</v>
      </c>
      <c r="I18" s="3" t="s">
        <v>2378</v>
      </c>
      <c r="J18" s="3" t="s">
        <v>2379</v>
      </c>
      <c r="K18" s="3" t="s">
        <v>2380</v>
      </c>
      <c r="L18" s="3" t="s">
        <v>2381</v>
      </c>
      <c r="M18" s="3" t="s">
        <v>2382</v>
      </c>
      <c r="N18" s="3" t="s">
        <v>2383</v>
      </c>
      <c r="O18" s="7" t="s">
        <v>2384</v>
      </c>
      <c r="W18" s="74">
        <v>5</v>
      </c>
      <c r="X18" s="76" t="s">
        <v>316</v>
      </c>
      <c r="Y18" s="69" t="s">
        <v>2385</v>
      </c>
      <c r="Z18" s="69" t="s">
        <v>2379</v>
      </c>
      <c r="AA18" s="78" t="s">
        <v>2308</v>
      </c>
    </row>
    <row r="19" spans="1:27" ht="30.45" customHeight="1">
      <c r="A19" s="136"/>
      <c r="B19" s="41" t="s">
        <v>369</v>
      </c>
      <c r="C19" s="41"/>
      <c r="D19" s="41"/>
      <c r="E19" s="41"/>
      <c r="F19" s="3" t="s">
        <v>2386</v>
      </c>
      <c r="G19" s="3"/>
      <c r="H19" s="3"/>
      <c r="I19" s="3"/>
      <c r="J19" s="3"/>
      <c r="K19" s="3" t="s">
        <v>2387</v>
      </c>
      <c r="L19" s="3"/>
      <c r="M19" s="3" t="s">
        <v>541</v>
      </c>
      <c r="N19" s="3" t="s">
        <v>2388</v>
      </c>
      <c r="O19" s="7"/>
      <c r="W19" s="74">
        <v>6</v>
      </c>
      <c r="X19" s="76" t="s">
        <v>332</v>
      </c>
      <c r="Y19" s="69" t="s">
        <v>2389</v>
      </c>
      <c r="Z19" s="69" t="s">
        <v>2380</v>
      </c>
      <c r="AA19" s="78" t="s">
        <v>2309</v>
      </c>
    </row>
    <row r="20" spans="1:27" ht="30.45" customHeight="1">
      <c r="A20" s="136"/>
      <c r="B20" s="41" t="s">
        <v>378</v>
      </c>
      <c r="C20" s="41"/>
      <c r="D20" s="41"/>
      <c r="E20" s="41"/>
      <c r="F20" s="3" t="s">
        <v>2390</v>
      </c>
      <c r="G20" s="3" t="s">
        <v>2391</v>
      </c>
      <c r="H20" s="3" t="s">
        <v>2289</v>
      </c>
      <c r="I20" s="3" t="s">
        <v>2392</v>
      </c>
      <c r="J20" s="3" t="s">
        <v>2393</v>
      </c>
      <c r="K20" s="3" t="s">
        <v>2394</v>
      </c>
      <c r="L20" s="3" t="s">
        <v>2395</v>
      </c>
      <c r="M20" s="3" t="s">
        <v>2396</v>
      </c>
      <c r="N20" s="3" t="s">
        <v>2397</v>
      </c>
      <c r="O20" s="7" t="s">
        <v>2398</v>
      </c>
      <c r="W20" s="74">
        <v>7</v>
      </c>
      <c r="X20" s="76" t="s">
        <v>357</v>
      </c>
      <c r="Y20" s="69" t="s">
        <v>2399</v>
      </c>
      <c r="Z20" s="69" t="s">
        <v>2381</v>
      </c>
      <c r="AA20" s="78" t="s">
        <v>2310</v>
      </c>
    </row>
    <row r="21" spans="1:27" ht="30.45" customHeight="1">
      <c r="A21" s="136" t="s">
        <v>392</v>
      </c>
      <c r="B21" s="41" t="s">
        <v>393</v>
      </c>
      <c r="C21" s="41"/>
      <c r="D21" s="41"/>
      <c r="E21" s="41"/>
      <c r="F21" s="48" t="s">
        <v>184</v>
      </c>
      <c r="G21" s="48" t="s">
        <v>184</v>
      </c>
      <c r="H21" s="48" t="s">
        <v>184</v>
      </c>
      <c r="I21" s="48" t="s">
        <v>184</v>
      </c>
      <c r="J21" s="48" t="s">
        <v>184</v>
      </c>
      <c r="K21" s="48" t="s">
        <v>185</v>
      </c>
      <c r="L21" s="48" t="s">
        <v>186</v>
      </c>
      <c r="M21" s="48" t="s">
        <v>185</v>
      </c>
      <c r="N21" s="48" t="s">
        <v>185</v>
      </c>
      <c r="O21" s="49" t="s">
        <v>186</v>
      </c>
      <c r="W21" s="74">
        <v>8</v>
      </c>
      <c r="X21" s="76" t="s">
        <v>332</v>
      </c>
      <c r="Y21" s="69" t="s">
        <v>2400</v>
      </c>
      <c r="Z21" s="69" t="s">
        <v>2382</v>
      </c>
      <c r="AA21" s="78" t="s">
        <v>2311</v>
      </c>
    </row>
    <row r="22" spans="1:27" ht="19.2" customHeight="1">
      <c r="A22" s="136"/>
      <c r="B22" s="83" t="s">
        <v>395</v>
      </c>
      <c r="C22" s="84"/>
      <c r="D22" s="84"/>
      <c r="E22" s="85"/>
      <c r="F22" s="86"/>
      <c r="G22" s="87"/>
      <c r="H22" s="87"/>
      <c r="I22" s="87"/>
      <c r="J22" s="87"/>
      <c r="K22" s="87"/>
      <c r="L22" s="87"/>
      <c r="M22" s="87"/>
      <c r="N22" s="87"/>
      <c r="O22" s="88"/>
      <c r="W22" s="74">
        <v>9</v>
      </c>
      <c r="X22" s="76" t="s">
        <v>332</v>
      </c>
      <c r="Y22" s="69" t="s">
        <v>2401</v>
      </c>
      <c r="Z22" s="69" t="s">
        <v>2383</v>
      </c>
      <c r="AA22" s="78" t="s">
        <v>2312</v>
      </c>
    </row>
    <row r="23" spans="1:27" ht="30.45" customHeight="1">
      <c r="A23" s="136"/>
      <c r="B23" s="41" t="s">
        <v>397</v>
      </c>
      <c r="C23" s="41"/>
      <c r="D23" s="41"/>
      <c r="E23" s="41"/>
      <c r="F23" s="50"/>
      <c r="G23" s="50"/>
      <c r="H23" s="50"/>
      <c r="I23" s="50"/>
      <c r="J23" s="50"/>
      <c r="K23" s="50"/>
      <c r="L23" s="50"/>
      <c r="M23" s="50"/>
      <c r="N23" s="50"/>
      <c r="O23" s="51"/>
      <c r="W23" s="75">
        <v>10</v>
      </c>
      <c r="X23" s="77" t="s">
        <v>357</v>
      </c>
      <c r="Y23" s="72" t="s">
        <v>2402</v>
      </c>
      <c r="Z23" s="72" t="s">
        <v>2384</v>
      </c>
      <c r="AA23" s="79" t="s">
        <v>2313</v>
      </c>
    </row>
    <row r="24" spans="1:27">
      <c r="A24" s="137"/>
      <c r="B24" s="45" t="s">
        <v>399</v>
      </c>
      <c r="C24" s="45"/>
      <c r="D24" s="45"/>
      <c r="E24" s="45"/>
      <c r="F24" s="46"/>
      <c r="G24" s="46"/>
      <c r="H24" s="46"/>
      <c r="I24" s="46"/>
      <c r="J24" s="46"/>
      <c r="K24" s="46"/>
      <c r="L24" s="46"/>
      <c r="M24" s="46"/>
      <c r="N24" s="46"/>
      <c r="O24" s="47"/>
    </row>
  </sheetData>
  <mergeCells count="32">
    <mergeCell ref="W2:AA2"/>
    <mergeCell ref="W9:AA9"/>
    <mergeCell ref="W12:AA12"/>
    <mergeCell ref="K7:L7"/>
    <mergeCell ref="M7:N7"/>
    <mergeCell ref="A10:A13"/>
    <mergeCell ref="A14:A20"/>
    <mergeCell ref="A21:A24"/>
    <mergeCell ref="A7:B7"/>
    <mergeCell ref="C7:D7"/>
    <mergeCell ref="E7:F7"/>
    <mergeCell ref="G7:H7"/>
    <mergeCell ref="I7:J7"/>
    <mergeCell ref="A4:B4"/>
    <mergeCell ref="C4:O4"/>
    <mergeCell ref="A5:B5"/>
    <mergeCell ref="C5:O5"/>
    <mergeCell ref="A6:B6"/>
    <mergeCell ref="C6:D6"/>
    <mergeCell ref="E6:F6"/>
    <mergeCell ref="G6:H6"/>
    <mergeCell ref="I6:J6"/>
    <mergeCell ref="K6:L6"/>
    <mergeCell ref="M6:N6"/>
    <mergeCell ref="A2:B2"/>
    <mergeCell ref="C2:D2"/>
    <mergeCell ref="F2:G2"/>
    <mergeCell ref="H2:O2"/>
    <mergeCell ref="A3:B3"/>
    <mergeCell ref="C3:D3"/>
    <mergeCell ref="F3:G3"/>
    <mergeCell ref="H3:O3"/>
  </mergeCells>
  <conditionalFormatting sqref="F22:O22">
    <cfRule type="expression" dxfId="11" priority="1">
      <formula>F22="Passed"</formula>
    </cfRule>
    <cfRule type="expression" dxfId="10" priority="2">
      <formula>F22="Failed"</formula>
    </cfRule>
    <cfRule type="expression" dxfId="9" priority="3">
      <formula>F22="Blocked"</formula>
    </cfRule>
  </conditionalFormatting>
  <dataValidations count="1">
    <dataValidation type="list" sqref="F22:O22" xr:uid="{00000000-0002-0000-1100-000000000000}">
      <formula1>"Passed,Failed,Blocked"</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A25"/>
  <sheetViews>
    <sheetView topLeftCell="A7" workbookViewId="0">
      <selection activeCell="I10" sqref="I10"/>
    </sheetView>
  </sheetViews>
  <sheetFormatPr defaultRowHeight="13.8"/>
  <cols>
    <col min="1" max="1" width="15" customWidth="1"/>
    <col min="2" max="5" width="16" customWidth="1"/>
    <col min="6" max="17" width="20" customWidth="1"/>
    <col min="23" max="24" width="20" customWidth="1"/>
    <col min="25" max="26" width="38" customWidth="1"/>
    <col min="27" max="27" width="16" customWidth="1"/>
  </cols>
  <sheetData>
    <row r="1" spans="1:27">
      <c r="A1" s="1"/>
      <c r="B1" s="1"/>
      <c r="C1" s="1"/>
      <c r="D1" s="1"/>
      <c r="E1" s="1"/>
      <c r="F1" s="1"/>
      <c r="G1" s="1"/>
      <c r="H1" s="1"/>
      <c r="I1" s="1"/>
      <c r="J1" s="1"/>
      <c r="K1" s="1"/>
      <c r="L1" s="1"/>
      <c r="M1" s="1"/>
      <c r="N1" s="1"/>
      <c r="O1" s="1"/>
      <c r="P1" s="1"/>
      <c r="Q1" s="1"/>
    </row>
    <row r="2" spans="1:27" ht="22.35" customHeight="1">
      <c r="A2" s="122" t="s">
        <v>199</v>
      </c>
      <c r="B2" s="123"/>
      <c r="C2" s="124" t="s">
        <v>155</v>
      </c>
      <c r="D2" s="124"/>
      <c r="E2" s="18"/>
      <c r="F2" s="123" t="s">
        <v>63</v>
      </c>
      <c r="G2" s="123"/>
      <c r="H2" s="124" t="s">
        <v>154</v>
      </c>
      <c r="I2" s="124"/>
      <c r="J2" s="124"/>
      <c r="K2" s="124"/>
      <c r="L2" s="124"/>
      <c r="M2" s="124"/>
      <c r="N2" s="124"/>
      <c r="O2" s="124"/>
      <c r="P2" s="124"/>
      <c r="Q2" s="125"/>
      <c r="W2" s="138" t="s">
        <v>200</v>
      </c>
      <c r="X2" s="138"/>
      <c r="Y2" s="138"/>
      <c r="Z2" s="138"/>
      <c r="AA2" s="138"/>
    </row>
    <row r="3" spans="1:27" ht="22.35" customHeight="1">
      <c r="A3" s="126" t="s">
        <v>201</v>
      </c>
      <c r="B3" s="127"/>
      <c r="C3" s="128" t="s">
        <v>37</v>
      </c>
      <c r="D3" s="128"/>
      <c r="E3" s="1"/>
      <c r="F3" s="127" t="s">
        <v>202</v>
      </c>
      <c r="G3" s="127"/>
      <c r="H3" s="128"/>
      <c r="I3" s="128"/>
      <c r="J3" s="128"/>
      <c r="K3" s="128"/>
      <c r="L3" s="128"/>
      <c r="M3" s="128"/>
      <c r="N3" s="128"/>
      <c r="O3" s="128"/>
      <c r="P3" s="128"/>
      <c r="Q3" s="129"/>
      <c r="W3" s="65" t="s">
        <v>203</v>
      </c>
      <c r="X3" s="66" t="s">
        <v>204</v>
      </c>
      <c r="Y3" s="66" t="s">
        <v>205</v>
      </c>
      <c r="Z3" s="66" t="s">
        <v>206</v>
      </c>
      <c r="AA3" s="67" t="s">
        <v>207</v>
      </c>
    </row>
    <row r="4" spans="1:27" ht="30.45" customHeight="1">
      <c r="A4" s="126" t="s">
        <v>208</v>
      </c>
      <c r="B4" s="127"/>
      <c r="C4" s="128" t="s">
        <v>2403</v>
      </c>
      <c r="D4" s="128"/>
      <c r="E4" s="128"/>
      <c r="F4" s="128"/>
      <c r="G4" s="128"/>
      <c r="H4" s="128"/>
      <c r="I4" s="128"/>
      <c r="J4" s="128"/>
      <c r="K4" s="128"/>
      <c r="L4" s="128"/>
      <c r="M4" s="128"/>
      <c r="N4" s="128"/>
      <c r="O4" s="128"/>
      <c r="P4" s="128"/>
      <c r="Q4" s="129"/>
      <c r="W4" s="68" t="s">
        <v>2404</v>
      </c>
      <c r="X4" s="69" t="s">
        <v>2405</v>
      </c>
      <c r="Y4" s="69" t="s">
        <v>2406</v>
      </c>
      <c r="Z4" s="69" t="s">
        <v>2407</v>
      </c>
      <c r="AA4" s="70" t="s">
        <v>2408</v>
      </c>
    </row>
    <row r="5" spans="1:27" ht="30.45" customHeight="1">
      <c r="A5" s="126" t="s">
        <v>215</v>
      </c>
      <c r="B5" s="127"/>
      <c r="C5" s="128" t="s">
        <v>152</v>
      </c>
      <c r="D5" s="128"/>
      <c r="E5" s="128"/>
      <c r="F5" s="128"/>
      <c r="G5" s="128"/>
      <c r="H5" s="128"/>
      <c r="I5" s="128"/>
      <c r="J5" s="128"/>
      <c r="K5" s="128"/>
      <c r="L5" s="128"/>
      <c r="M5" s="128"/>
      <c r="N5" s="128"/>
      <c r="O5" s="128"/>
      <c r="P5" s="128"/>
      <c r="Q5" s="129"/>
      <c r="W5" s="68" t="s">
        <v>2409</v>
      </c>
      <c r="X5" s="69" t="s">
        <v>2410</v>
      </c>
      <c r="Y5" s="69" t="s">
        <v>2411</v>
      </c>
      <c r="Z5" s="69" t="s">
        <v>2412</v>
      </c>
      <c r="AA5" s="70" t="s">
        <v>2413</v>
      </c>
    </row>
    <row r="6" spans="1:27" ht="30.45" customHeight="1">
      <c r="A6" s="130" t="s">
        <v>173</v>
      </c>
      <c r="B6" s="131"/>
      <c r="C6" s="131" t="s">
        <v>174</v>
      </c>
      <c r="D6" s="131"/>
      <c r="E6" s="131" t="s">
        <v>175</v>
      </c>
      <c r="F6" s="131"/>
      <c r="G6" s="131" t="s">
        <v>180</v>
      </c>
      <c r="H6" s="131"/>
      <c r="I6" s="131" t="s">
        <v>184</v>
      </c>
      <c r="J6" s="131"/>
      <c r="K6" s="131" t="s">
        <v>185</v>
      </c>
      <c r="L6" s="131"/>
      <c r="M6" s="131" t="s">
        <v>186</v>
      </c>
      <c r="N6" s="131"/>
      <c r="O6" s="131" t="s">
        <v>187</v>
      </c>
      <c r="P6" s="131"/>
      <c r="Q6" s="132"/>
      <c r="W6" s="68" t="s">
        <v>2414</v>
      </c>
      <c r="X6" s="69" t="s">
        <v>2415</v>
      </c>
      <c r="Y6" s="69" t="s">
        <v>2416</v>
      </c>
      <c r="Z6" s="69" t="s">
        <v>2417</v>
      </c>
      <c r="AA6" s="70" t="s">
        <v>2418</v>
      </c>
    </row>
    <row r="7" spans="1:27" ht="30.45" customHeight="1">
      <c r="A7" s="133">
        <f>COUNTIF(F22:Q22,"Passed")</f>
        <v>0</v>
      </c>
      <c r="B7" s="134"/>
      <c r="C7" s="134">
        <f>COUNTIF(F22:Q22,"Failed")</f>
        <v>0</v>
      </c>
      <c r="D7" s="134"/>
      <c r="E7" s="134">
        <f>COUNTIF(F22:Q22,"Blocked")</f>
        <v>0</v>
      </c>
      <c r="F7" s="134"/>
      <c r="G7" s="134">
        <f>12-A7-C7-E7</f>
        <v>12</v>
      </c>
      <c r="H7" s="134"/>
      <c r="I7" s="134">
        <f>COUNTIF(F21:Q21,"N")</f>
        <v>5</v>
      </c>
      <c r="J7" s="134"/>
      <c r="K7" s="134">
        <f>COUNTIF(F21:Q21,"A")</f>
        <v>7</v>
      </c>
      <c r="L7" s="134"/>
      <c r="M7" s="134">
        <f>COUNTIF(F21:Q21,"B")</f>
        <v>0</v>
      </c>
      <c r="N7" s="134"/>
      <c r="O7" s="134">
        <v>12</v>
      </c>
      <c r="P7" s="134"/>
      <c r="Q7" s="135"/>
      <c r="W7" s="68" t="s">
        <v>2419</v>
      </c>
      <c r="X7" s="69" t="s">
        <v>2420</v>
      </c>
      <c r="Y7" s="69" t="s">
        <v>1052</v>
      </c>
      <c r="Z7" s="69" t="s">
        <v>2421</v>
      </c>
      <c r="AA7" s="70" t="s">
        <v>1556</v>
      </c>
    </row>
    <row r="8" spans="1:27" ht="30.45" customHeight="1">
      <c r="A8" s="1"/>
      <c r="B8" s="1"/>
      <c r="C8" s="1"/>
      <c r="D8" s="1"/>
      <c r="E8" s="1"/>
      <c r="F8" s="1"/>
      <c r="G8" s="1"/>
      <c r="H8" s="1"/>
      <c r="I8" s="1"/>
      <c r="J8" s="1"/>
      <c r="K8" s="1"/>
      <c r="L8" s="1"/>
      <c r="M8" s="1"/>
      <c r="N8" s="1"/>
      <c r="O8" s="1"/>
      <c r="P8" s="1"/>
      <c r="Q8" s="1"/>
      <c r="W8" s="71" t="s">
        <v>2422</v>
      </c>
      <c r="X8" s="72" t="s">
        <v>2423</v>
      </c>
      <c r="Y8" s="72" t="s">
        <v>2424</v>
      </c>
      <c r="Z8" s="72" t="s">
        <v>2425</v>
      </c>
      <c r="AA8" s="73" t="s">
        <v>2426</v>
      </c>
    </row>
    <row r="9" spans="1:27" ht="35.25" customHeight="1">
      <c r="A9" s="42"/>
      <c r="B9" s="43"/>
      <c r="C9" s="43"/>
      <c r="D9" s="43"/>
      <c r="E9" s="43"/>
      <c r="F9" s="43" t="s">
        <v>155</v>
      </c>
      <c r="G9" s="43" t="s">
        <v>2427</v>
      </c>
      <c r="H9" s="43" t="s">
        <v>2428</v>
      </c>
      <c r="I9" s="43" t="s">
        <v>2429</v>
      </c>
      <c r="J9" s="43" t="s">
        <v>2430</v>
      </c>
      <c r="K9" s="43" t="s">
        <v>2431</v>
      </c>
      <c r="L9" s="43" t="s">
        <v>2432</v>
      </c>
      <c r="M9" s="43" t="s">
        <v>2433</v>
      </c>
      <c r="N9" s="43" t="s">
        <v>2434</v>
      </c>
      <c r="O9" s="43" t="s">
        <v>2435</v>
      </c>
      <c r="P9" s="43" t="s">
        <v>2436</v>
      </c>
      <c r="Q9" s="44" t="s">
        <v>2437</v>
      </c>
      <c r="W9" s="139" t="s">
        <v>247</v>
      </c>
      <c r="X9" s="140"/>
      <c r="Y9" s="140"/>
      <c r="Z9" s="140"/>
      <c r="AA9" s="141"/>
    </row>
    <row r="10" spans="1:27" ht="38.4" customHeight="1">
      <c r="A10" s="136" t="s">
        <v>248</v>
      </c>
      <c r="B10" s="41" t="s">
        <v>249</v>
      </c>
      <c r="C10" s="41"/>
      <c r="D10" s="41"/>
      <c r="E10" s="41"/>
      <c r="F10" s="3" t="s">
        <v>2438</v>
      </c>
      <c r="G10" s="3" t="s">
        <v>2439</v>
      </c>
      <c r="H10" s="3" t="s">
        <v>2440</v>
      </c>
      <c r="I10" s="3" t="s">
        <v>2441</v>
      </c>
      <c r="J10" s="3" t="s">
        <v>2442</v>
      </c>
      <c r="K10" s="3" t="s">
        <v>2443</v>
      </c>
      <c r="L10" s="3" t="s">
        <v>2444</v>
      </c>
      <c r="M10" s="3" t="s">
        <v>2445</v>
      </c>
      <c r="N10" s="3" t="s">
        <v>2446</v>
      </c>
      <c r="O10" s="3" t="s">
        <v>2447</v>
      </c>
      <c r="P10" s="3" t="s">
        <v>2448</v>
      </c>
      <c r="Q10" s="7" t="s">
        <v>2449</v>
      </c>
    </row>
    <row r="11" spans="1:27" ht="35.25" customHeight="1">
      <c r="A11" s="136"/>
      <c r="B11" s="41" t="s">
        <v>261</v>
      </c>
      <c r="C11" s="41"/>
      <c r="D11" s="41"/>
      <c r="E11" s="41"/>
      <c r="F11" s="3" t="s">
        <v>2450</v>
      </c>
      <c r="G11" s="3" t="s">
        <v>2451</v>
      </c>
      <c r="H11" s="3" t="s">
        <v>2452</v>
      </c>
      <c r="I11" s="3" t="s">
        <v>2450</v>
      </c>
      <c r="J11" s="3" t="s">
        <v>2453</v>
      </c>
      <c r="K11" s="3" t="s">
        <v>2454</v>
      </c>
      <c r="L11" s="3" t="s">
        <v>2455</v>
      </c>
      <c r="M11" s="3" t="s">
        <v>2456</v>
      </c>
      <c r="N11" s="3" t="s">
        <v>2457</v>
      </c>
      <c r="O11" s="3" t="s">
        <v>613</v>
      </c>
      <c r="P11" s="3" t="s">
        <v>2458</v>
      </c>
      <c r="Q11" s="7" t="s">
        <v>2459</v>
      </c>
    </row>
    <row r="12" spans="1:27" ht="22.35" customHeight="1">
      <c r="A12" s="136"/>
      <c r="B12" s="41" t="s">
        <v>274</v>
      </c>
      <c r="C12" s="41"/>
      <c r="D12" s="41"/>
      <c r="E12" s="41"/>
      <c r="F12" s="3" t="s">
        <v>2460</v>
      </c>
      <c r="G12" s="3" t="s">
        <v>2461</v>
      </c>
      <c r="H12" s="3" t="s">
        <v>2462</v>
      </c>
      <c r="I12" s="3" t="s">
        <v>2463</v>
      </c>
      <c r="J12" s="3" t="s">
        <v>932</v>
      </c>
      <c r="K12" s="3" t="s">
        <v>2464</v>
      </c>
      <c r="L12" s="3" t="s">
        <v>2465</v>
      </c>
      <c r="M12" s="3" t="s">
        <v>2466</v>
      </c>
      <c r="N12" s="3" t="s">
        <v>2467</v>
      </c>
      <c r="O12" s="3" t="s">
        <v>2468</v>
      </c>
      <c r="P12" s="3" t="s">
        <v>2469</v>
      </c>
      <c r="Q12" s="7" t="s">
        <v>2470</v>
      </c>
      <c r="W12" s="138" t="s">
        <v>287</v>
      </c>
      <c r="X12" s="138"/>
      <c r="Y12" s="138"/>
      <c r="Z12" s="138"/>
      <c r="AA12" s="138"/>
    </row>
    <row r="13" spans="1:27" ht="22.35" customHeight="1">
      <c r="A13" s="136"/>
      <c r="B13" s="41" t="s">
        <v>288</v>
      </c>
      <c r="C13" s="41"/>
      <c r="D13" s="41"/>
      <c r="E13" s="41"/>
      <c r="F13" s="3" t="s">
        <v>2471</v>
      </c>
      <c r="G13" s="3" t="s">
        <v>2472</v>
      </c>
      <c r="H13" s="3" t="s">
        <v>292</v>
      </c>
      <c r="I13" s="3" t="s">
        <v>292</v>
      </c>
      <c r="J13" s="3" t="s">
        <v>304</v>
      </c>
      <c r="K13" s="3" t="s">
        <v>2473</v>
      </c>
      <c r="L13" s="3" t="s">
        <v>292</v>
      </c>
      <c r="M13" s="3" t="s">
        <v>292</v>
      </c>
      <c r="N13" s="3" t="s">
        <v>292</v>
      </c>
      <c r="O13" s="3" t="s">
        <v>292</v>
      </c>
      <c r="P13" s="3" t="s">
        <v>638</v>
      </c>
      <c r="Q13" s="7" t="s">
        <v>2474</v>
      </c>
      <c r="W13" s="65" t="s">
        <v>299</v>
      </c>
      <c r="X13" s="66" t="s">
        <v>300</v>
      </c>
      <c r="Y13" s="66" t="s">
        <v>301</v>
      </c>
      <c r="Z13" s="66" t="s">
        <v>302</v>
      </c>
      <c r="AA13" s="67" t="s">
        <v>303</v>
      </c>
    </row>
    <row r="14" spans="1:27" ht="30.45" customHeight="1">
      <c r="A14" s="136" t="s">
        <v>304</v>
      </c>
      <c r="B14" s="41" t="s">
        <v>305</v>
      </c>
      <c r="C14" s="41"/>
      <c r="D14" s="41"/>
      <c r="E14" s="41"/>
      <c r="F14" s="3" t="s">
        <v>2475</v>
      </c>
      <c r="G14" s="3" t="s">
        <v>2476</v>
      </c>
      <c r="H14" s="3" t="s">
        <v>2477</v>
      </c>
      <c r="I14" s="3" t="s">
        <v>2438</v>
      </c>
      <c r="J14" s="3" t="s">
        <v>2478</v>
      </c>
      <c r="K14" s="3" t="s">
        <v>2479</v>
      </c>
      <c r="L14" s="3" t="s">
        <v>2480</v>
      </c>
      <c r="M14" s="3" t="s">
        <v>2481</v>
      </c>
      <c r="N14" s="3" t="s">
        <v>2479</v>
      </c>
      <c r="O14" s="3" t="s">
        <v>1633</v>
      </c>
      <c r="P14" s="3" t="s">
        <v>2482</v>
      </c>
      <c r="Q14" s="7" t="s">
        <v>953</v>
      </c>
      <c r="W14" s="74">
        <v>1</v>
      </c>
      <c r="X14" s="76" t="s">
        <v>316</v>
      </c>
      <c r="Y14" s="69" t="s">
        <v>2483</v>
      </c>
      <c r="Z14" s="69" t="s">
        <v>2484</v>
      </c>
      <c r="AA14" s="78" t="s">
        <v>155</v>
      </c>
    </row>
    <row r="15" spans="1:27" ht="30.45" customHeight="1">
      <c r="A15" s="136"/>
      <c r="B15" s="41" t="s">
        <v>319</v>
      </c>
      <c r="C15" s="41"/>
      <c r="D15" s="41"/>
      <c r="E15" s="41"/>
      <c r="F15" s="3" t="s">
        <v>2438</v>
      </c>
      <c r="G15" s="3" t="s">
        <v>2485</v>
      </c>
      <c r="H15" s="3" t="s">
        <v>2486</v>
      </c>
      <c r="I15" s="3" t="s">
        <v>2487</v>
      </c>
      <c r="J15" s="3" t="s">
        <v>932</v>
      </c>
      <c r="K15" s="3" t="s">
        <v>2480</v>
      </c>
      <c r="L15" s="3" t="s">
        <v>2488</v>
      </c>
      <c r="M15" s="3" t="s">
        <v>2489</v>
      </c>
      <c r="N15" s="3" t="s">
        <v>2467</v>
      </c>
      <c r="O15" s="3" t="s">
        <v>2475</v>
      </c>
      <c r="P15" s="3" t="s">
        <v>659</v>
      </c>
      <c r="Q15" s="7" t="s">
        <v>2490</v>
      </c>
      <c r="W15" s="74">
        <v>2</v>
      </c>
      <c r="X15" s="76" t="s">
        <v>316</v>
      </c>
      <c r="Y15" s="69" t="s">
        <v>2491</v>
      </c>
      <c r="Z15" s="69" t="s">
        <v>2492</v>
      </c>
      <c r="AA15" s="78" t="s">
        <v>2427</v>
      </c>
    </row>
    <row r="16" spans="1:27" ht="30.45" customHeight="1">
      <c r="A16" s="136"/>
      <c r="B16" s="41" t="s">
        <v>335</v>
      </c>
      <c r="C16" s="41"/>
      <c r="D16" s="41"/>
      <c r="E16" s="41"/>
      <c r="F16" s="3" t="s">
        <v>2493</v>
      </c>
      <c r="G16" s="3" t="s">
        <v>2494</v>
      </c>
      <c r="H16" s="3" t="s">
        <v>2495</v>
      </c>
      <c r="I16" s="3" t="s">
        <v>503</v>
      </c>
      <c r="J16" s="3" t="s">
        <v>304</v>
      </c>
      <c r="K16" s="3" t="s">
        <v>2496</v>
      </c>
      <c r="L16" s="3" t="s">
        <v>693</v>
      </c>
      <c r="M16" s="3" t="s">
        <v>524</v>
      </c>
      <c r="N16" s="3" t="s">
        <v>304</v>
      </c>
      <c r="O16" s="3" t="s">
        <v>2497</v>
      </c>
      <c r="P16" s="3" t="s">
        <v>2498</v>
      </c>
      <c r="Q16" s="7" t="s">
        <v>2499</v>
      </c>
      <c r="W16" s="74">
        <v>3</v>
      </c>
      <c r="X16" s="76" t="s">
        <v>332</v>
      </c>
      <c r="Y16" s="69" t="s">
        <v>2500</v>
      </c>
      <c r="Z16" s="69" t="s">
        <v>2501</v>
      </c>
      <c r="AA16" s="78" t="s">
        <v>2428</v>
      </c>
    </row>
    <row r="17" spans="1:27" ht="30.45" customHeight="1">
      <c r="A17" s="136"/>
      <c r="B17" s="41" t="s">
        <v>346</v>
      </c>
      <c r="C17" s="41"/>
      <c r="D17" s="41"/>
      <c r="E17" s="41"/>
      <c r="F17" s="3" t="s">
        <v>503</v>
      </c>
      <c r="G17" s="3" t="s">
        <v>2502</v>
      </c>
      <c r="H17" s="3" t="s">
        <v>292</v>
      </c>
      <c r="I17" s="3" t="s">
        <v>336</v>
      </c>
      <c r="J17" s="3" t="s">
        <v>2477</v>
      </c>
      <c r="K17" s="3" t="s">
        <v>693</v>
      </c>
      <c r="L17" s="3" t="s">
        <v>524</v>
      </c>
      <c r="M17" s="3" t="s">
        <v>2503</v>
      </c>
      <c r="N17" s="3" t="s">
        <v>2504</v>
      </c>
      <c r="O17" s="3" t="s">
        <v>2505</v>
      </c>
      <c r="P17" s="3" t="s">
        <v>2506</v>
      </c>
      <c r="Q17" s="7" t="s">
        <v>524</v>
      </c>
      <c r="W17" s="74">
        <v>4</v>
      </c>
      <c r="X17" s="76" t="s">
        <v>332</v>
      </c>
      <c r="Y17" s="69" t="s">
        <v>2507</v>
      </c>
      <c r="Z17" s="69" t="s">
        <v>2508</v>
      </c>
      <c r="AA17" s="78" t="s">
        <v>2429</v>
      </c>
    </row>
    <row r="18" spans="1:27" ht="30.45" customHeight="1">
      <c r="A18" s="136"/>
      <c r="B18" s="41" t="s">
        <v>302</v>
      </c>
      <c r="C18" s="41"/>
      <c r="D18" s="41"/>
      <c r="E18" s="41"/>
      <c r="F18" s="3" t="s">
        <v>2484</v>
      </c>
      <c r="G18" s="3" t="s">
        <v>2492</v>
      </c>
      <c r="H18" s="3" t="s">
        <v>2501</v>
      </c>
      <c r="I18" s="3" t="s">
        <v>2508</v>
      </c>
      <c r="J18" s="3" t="s">
        <v>2509</v>
      </c>
      <c r="K18" s="3" t="s">
        <v>2510</v>
      </c>
      <c r="L18" s="3" t="s">
        <v>2511</v>
      </c>
      <c r="M18" s="3" t="s">
        <v>2512</v>
      </c>
      <c r="N18" s="3" t="s">
        <v>2513</v>
      </c>
      <c r="O18" s="3" t="s">
        <v>2514</v>
      </c>
      <c r="P18" s="3" t="s">
        <v>2515</v>
      </c>
      <c r="Q18" s="7" t="s">
        <v>2516</v>
      </c>
      <c r="W18" s="74">
        <v>5</v>
      </c>
      <c r="X18" s="76" t="s">
        <v>316</v>
      </c>
      <c r="Y18" s="69" t="s">
        <v>2517</v>
      </c>
      <c r="Z18" s="69" t="s">
        <v>2509</v>
      </c>
      <c r="AA18" s="78" t="s">
        <v>2430</v>
      </c>
    </row>
    <row r="19" spans="1:27" ht="30.45" customHeight="1">
      <c r="A19" s="136"/>
      <c r="B19" s="41" t="s">
        <v>369</v>
      </c>
      <c r="C19" s="41"/>
      <c r="D19" s="41"/>
      <c r="E19" s="41"/>
      <c r="F19" s="3"/>
      <c r="G19" s="3"/>
      <c r="H19" s="3" t="s">
        <v>2518</v>
      </c>
      <c r="I19" s="3" t="s">
        <v>2519</v>
      </c>
      <c r="J19" s="3"/>
      <c r="K19" s="3"/>
      <c r="L19" s="3" t="s">
        <v>2520</v>
      </c>
      <c r="M19" s="3" t="s">
        <v>2521</v>
      </c>
      <c r="N19" s="3"/>
      <c r="O19" s="3" t="s">
        <v>541</v>
      </c>
      <c r="P19" s="3"/>
      <c r="Q19" s="7"/>
      <c r="W19" s="74">
        <v>6</v>
      </c>
      <c r="X19" s="76" t="s">
        <v>316</v>
      </c>
      <c r="Y19" s="69" t="s">
        <v>2522</v>
      </c>
      <c r="Z19" s="69" t="s">
        <v>2510</v>
      </c>
      <c r="AA19" s="78" t="s">
        <v>2431</v>
      </c>
    </row>
    <row r="20" spans="1:27" ht="30.45" customHeight="1">
      <c r="A20" s="136"/>
      <c r="B20" s="41" t="s">
        <v>378</v>
      </c>
      <c r="C20" s="41"/>
      <c r="D20" s="41"/>
      <c r="E20" s="41"/>
      <c r="F20" s="3" t="s">
        <v>2523</v>
      </c>
      <c r="G20" s="3" t="s">
        <v>2524</v>
      </c>
      <c r="H20" s="3" t="s">
        <v>2525</v>
      </c>
      <c r="I20" s="3" t="s">
        <v>2526</v>
      </c>
      <c r="J20" s="3" t="s">
        <v>2527</v>
      </c>
      <c r="K20" s="3" t="s">
        <v>2528</v>
      </c>
      <c r="L20" s="3" t="s">
        <v>2529</v>
      </c>
      <c r="M20" s="3" t="s">
        <v>2530</v>
      </c>
      <c r="N20" s="3" t="s">
        <v>2531</v>
      </c>
      <c r="O20" s="3" t="s">
        <v>2532</v>
      </c>
      <c r="P20" s="3" t="s">
        <v>1702</v>
      </c>
      <c r="Q20" s="7" t="s">
        <v>2533</v>
      </c>
      <c r="W20" s="74">
        <v>7</v>
      </c>
      <c r="X20" s="76" t="s">
        <v>332</v>
      </c>
      <c r="Y20" s="69" t="s">
        <v>2534</v>
      </c>
      <c r="Z20" s="69" t="s">
        <v>2511</v>
      </c>
      <c r="AA20" s="78" t="s">
        <v>2432</v>
      </c>
    </row>
    <row r="21" spans="1:27" ht="30.45" customHeight="1">
      <c r="A21" s="136" t="s">
        <v>392</v>
      </c>
      <c r="B21" s="41" t="s">
        <v>393</v>
      </c>
      <c r="C21" s="41"/>
      <c r="D21" s="41"/>
      <c r="E21" s="41"/>
      <c r="F21" s="48" t="s">
        <v>184</v>
      </c>
      <c r="G21" s="48" t="s">
        <v>184</v>
      </c>
      <c r="H21" s="48" t="s">
        <v>185</v>
      </c>
      <c r="I21" s="48" t="s">
        <v>185</v>
      </c>
      <c r="J21" s="48" t="s">
        <v>184</v>
      </c>
      <c r="K21" s="48" t="s">
        <v>184</v>
      </c>
      <c r="L21" s="48" t="s">
        <v>185</v>
      </c>
      <c r="M21" s="48" t="s">
        <v>185</v>
      </c>
      <c r="N21" s="48" t="s">
        <v>184</v>
      </c>
      <c r="O21" s="48" t="s">
        <v>185</v>
      </c>
      <c r="P21" s="48" t="s">
        <v>185</v>
      </c>
      <c r="Q21" s="49" t="s">
        <v>185</v>
      </c>
      <c r="W21" s="74">
        <v>8</v>
      </c>
      <c r="X21" s="76" t="s">
        <v>332</v>
      </c>
      <c r="Y21" s="69" t="s">
        <v>2535</v>
      </c>
      <c r="Z21" s="69" t="s">
        <v>2512</v>
      </c>
      <c r="AA21" s="78" t="s">
        <v>2433</v>
      </c>
    </row>
    <row r="22" spans="1:27" ht="19.2" customHeight="1">
      <c r="A22" s="136"/>
      <c r="B22" s="83" t="s">
        <v>395</v>
      </c>
      <c r="C22" s="84"/>
      <c r="D22" s="84"/>
      <c r="E22" s="85"/>
      <c r="F22" s="86"/>
      <c r="G22" s="87"/>
      <c r="H22" s="87"/>
      <c r="I22" s="87"/>
      <c r="J22" s="87"/>
      <c r="K22" s="87"/>
      <c r="L22" s="87"/>
      <c r="M22" s="87"/>
      <c r="N22" s="87"/>
      <c r="O22" s="87"/>
      <c r="P22" s="87"/>
      <c r="Q22" s="88"/>
      <c r="W22" s="74">
        <v>9</v>
      </c>
      <c r="X22" s="76" t="s">
        <v>316</v>
      </c>
      <c r="Y22" s="69" t="s">
        <v>2536</v>
      </c>
      <c r="Z22" s="69" t="s">
        <v>2513</v>
      </c>
      <c r="AA22" s="78" t="s">
        <v>2434</v>
      </c>
    </row>
    <row r="23" spans="1:27" ht="30.45" customHeight="1">
      <c r="A23" s="136"/>
      <c r="B23" s="41" t="s">
        <v>397</v>
      </c>
      <c r="C23" s="41"/>
      <c r="D23" s="41"/>
      <c r="E23" s="41"/>
      <c r="F23" s="50"/>
      <c r="G23" s="50"/>
      <c r="H23" s="50"/>
      <c r="I23" s="50"/>
      <c r="J23" s="50"/>
      <c r="K23" s="50"/>
      <c r="L23" s="50"/>
      <c r="M23" s="50"/>
      <c r="N23" s="50"/>
      <c r="O23" s="50"/>
      <c r="P23" s="50"/>
      <c r="Q23" s="51"/>
      <c r="W23" s="74">
        <v>10</v>
      </c>
      <c r="X23" s="76" t="s">
        <v>332</v>
      </c>
      <c r="Y23" s="69" t="s">
        <v>2537</v>
      </c>
      <c r="Z23" s="69" t="s">
        <v>2514</v>
      </c>
      <c r="AA23" s="78" t="s">
        <v>2435</v>
      </c>
    </row>
    <row r="24" spans="1:27" ht="30.45" customHeight="1">
      <c r="A24" s="137"/>
      <c r="B24" s="45" t="s">
        <v>399</v>
      </c>
      <c r="C24" s="45"/>
      <c r="D24" s="45"/>
      <c r="E24" s="45"/>
      <c r="F24" s="46"/>
      <c r="G24" s="46"/>
      <c r="H24" s="46"/>
      <c r="I24" s="46"/>
      <c r="J24" s="46"/>
      <c r="K24" s="46"/>
      <c r="L24" s="46"/>
      <c r="M24" s="46"/>
      <c r="N24" s="46"/>
      <c r="O24" s="46"/>
      <c r="P24" s="46"/>
      <c r="Q24" s="47"/>
      <c r="W24" s="74">
        <v>11</v>
      </c>
      <c r="X24" s="76" t="s">
        <v>332</v>
      </c>
      <c r="Y24" s="69" t="s">
        <v>2538</v>
      </c>
      <c r="Z24" s="69" t="s">
        <v>2515</v>
      </c>
      <c r="AA24" s="78" t="s">
        <v>2436</v>
      </c>
    </row>
    <row r="25" spans="1:27" ht="30.45" customHeight="1">
      <c r="W25" s="75">
        <v>12</v>
      </c>
      <c r="X25" s="77" t="s">
        <v>332</v>
      </c>
      <c r="Y25" s="72" t="s">
        <v>2539</v>
      </c>
      <c r="Z25" s="72" t="s">
        <v>2516</v>
      </c>
      <c r="AA25" s="79" t="s">
        <v>2437</v>
      </c>
    </row>
  </sheetData>
  <mergeCells count="34">
    <mergeCell ref="A21:A24"/>
    <mergeCell ref="W2:AA2"/>
    <mergeCell ref="W9:AA9"/>
    <mergeCell ref="W12:AA12"/>
    <mergeCell ref="K7:L7"/>
    <mergeCell ref="M7:N7"/>
    <mergeCell ref="O7:Q7"/>
    <mergeCell ref="A10:A13"/>
    <mergeCell ref="A14:A20"/>
    <mergeCell ref="A7:B7"/>
    <mergeCell ref="C7:D7"/>
    <mergeCell ref="E7:F7"/>
    <mergeCell ref="G7:H7"/>
    <mergeCell ref="I7:J7"/>
    <mergeCell ref="A4:B4"/>
    <mergeCell ref="C4:Q4"/>
    <mergeCell ref="A5:B5"/>
    <mergeCell ref="C5:Q5"/>
    <mergeCell ref="A6:B6"/>
    <mergeCell ref="C6:D6"/>
    <mergeCell ref="E6:F6"/>
    <mergeCell ref="G6:H6"/>
    <mergeCell ref="I6:J6"/>
    <mergeCell ref="K6:L6"/>
    <mergeCell ref="M6:N6"/>
    <mergeCell ref="O6:Q6"/>
    <mergeCell ref="A2:B2"/>
    <mergeCell ref="C2:D2"/>
    <mergeCell ref="F2:G2"/>
    <mergeCell ref="H2:Q2"/>
    <mergeCell ref="A3:B3"/>
    <mergeCell ref="C3:D3"/>
    <mergeCell ref="F3:G3"/>
    <mergeCell ref="H3:Q3"/>
  </mergeCells>
  <conditionalFormatting sqref="F22:Q22">
    <cfRule type="expression" dxfId="8" priority="1">
      <formula>F22="Passed"</formula>
    </cfRule>
    <cfRule type="expression" dxfId="7" priority="2">
      <formula>F22="Failed"</formula>
    </cfRule>
    <cfRule type="expression" dxfId="6" priority="3">
      <formula>F22="Blocked"</formula>
    </cfRule>
  </conditionalFormatting>
  <dataValidations count="1">
    <dataValidation type="list" sqref="F22:Q22" xr:uid="{00000000-0002-0000-1200-000000000000}">
      <formula1>"Passed,Failed,Blocked"</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A25"/>
  <sheetViews>
    <sheetView topLeftCell="A7" workbookViewId="0"/>
  </sheetViews>
  <sheetFormatPr defaultRowHeight="13.8"/>
  <cols>
    <col min="1" max="1" width="15" customWidth="1"/>
    <col min="2" max="5" width="16" customWidth="1"/>
    <col min="6" max="17" width="20" customWidth="1"/>
    <col min="23" max="24" width="20" customWidth="1"/>
    <col min="25" max="26" width="38" customWidth="1"/>
    <col min="27" max="27" width="16" customWidth="1"/>
  </cols>
  <sheetData>
    <row r="1" spans="1:27">
      <c r="A1" s="1"/>
      <c r="B1" s="1"/>
      <c r="C1" s="1"/>
      <c r="D1" s="1"/>
      <c r="E1" s="1"/>
      <c r="F1" s="1"/>
      <c r="G1" s="1"/>
      <c r="H1" s="1"/>
      <c r="I1" s="1"/>
      <c r="J1" s="1"/>
      <c r="K1" s="1"/>
      <c r="L1" s="1"/>
      <c r="M1" s="1"/>
      <c r="N1" s="1"/>
      <c r="O1" s="1"/>
      <c r="P1" s="1"/>
      <c r="Q1" s="1"/>
    </row>
    <row r="2" spans="1:27" ht="22.35" customHeight="1">
      <c r="A2" s="122" t="s">
        <v>199</v>
      </c>
      <c r="B2" s="123"/>
      <c r="C2" s="124" t="s">
        <v>161</v>
      </c>
      <c r="D2" s="124"/>
      <c r="E2" s="18"/>
      <c r="F2" s="123" t="s">
        <v>63</v>
      </c>
      <c r="G2" s="123"/>
      <c r="H2" s="124" t="s">
        <v>160</v>
      </c>
      <c r="I2" s="124"/>
      <c r="J2" s="124"/>
      <c r="K2" s="124"/>
      <c r="L2" s="124"/>
      <c r="M2" s="124"/>
      <c r="N2" s="124"/>
      <c r="O2" s="124"/>
      <c r="P2" s="124"/>
      <c r="Q2" s="125"/>
      <c r="W2" s="138" t="s">
        <v>200</v>
      </c>
      <c r="X2" s="138"/>
      <c r="Y2" s="138"/>
      <c r="Z2" s="138"/>
      <c r="AA2" s="138"/>
    </row>
    <row r="3" spans="1:27" ht="22.35" customHeight="1">
      <c r="A3" s="126" t="s">
        <v>201</v>
      </c>
      <c r="B3" s="127"/>
      <c r="C3" s="128" t="s">
        <v>37</v>
      </c>
      <c r="D3" s="128"/>
      <c r="E3" s="1"/>
      <c r="F3" s="127" t="s">
        <v>202</v>
      </c>
      <c r="G3" s="127"/>
      <c r="H3" s="128"/>
      <c r="I3" s="128"/>
      <c r="J3" s="128"/>
      <c r="K3" s="128"/>
      <c r="L3" s="128"/>
      <c r="M3" s="128"/>
      <c r="N3" s="128"/>
      <c r="O3" s="128"/>
      <c r="P3" s="128"/>
      <c r="Q3" s="129"/>
      <c r="W3" s="65" t="s">
        <v>203</v>
      </c>
      <c r="X3" s="66" t="s">
        <v>204</v>
      </c>
      <c r="Y3" s="66" t="s">
        <v>205</v>
      </c>
      <c r="Z3" s="66" t="s">
        <v>206</v>
      </c>
      <c r="AA3" s="67" t="s">
        <v>207</v>
      </c>
    </row>
    <row r="4" spans="1:27" ht="30.45" customHeight="1">
      <c r="A4" s="126" t="s">
        <v>208</v>
      </c>
      <c r="B4" s="127"/>
      <c r="C4" s="128" t="s">
        <v>2540</v>
      </c>
      <c r="D4" s="128"/>
      <c r="E4" s="128"/>
      <c r="F4" s="128"/>
      <c r="G4" s="128"/>
      <c r="H4" s="128"/>
      <c r="I4" s="128"/>
      <c r="J4" s="128"/>
      <c r="K4" s="128"/>
      <c r="L4" s="128"/>
      <c r="M4" s="128"/>
      <c r="N4" s="128"/>
      <c r="O4" s="128"/>
      <c r="P4" s="128"/>
      <c r="Q4" s="129"/>
      <c r="W4" s="68" t="s">
        <v>2541</v>
      </c>
      <c r="X4" s="69" t="s">
        <v>2542</v>
      </c>
      <c r="Y4" s="69" t="s">
        <v>2543</v>
      </c>
      <c r="Z4" s="69" t="s">
        <v>2544</v>
      </c>
      <c r="AA4" s="70" t="s">
        <v>2545</v>
      </c>
    </row>
    <row r="5" spans="1:27" ht="30.45" customHeight="1">
      <c r="A5" s="126" t="s">
        <v>215</v>
      </c>
      <c r="B5" s="127"/>
      <c r="C5" s="128" t="s">
        <v>158</v>
      </c>
      <c r="D5" s="128"/>
      <c r="E5" s="128"/>
      <c r="F5" s="128"/>
      <c r="G5" s="128"/>
      <c r="H5" s="128"/>
      <c r="I5" s="128"/>
      <c r="J5" s="128"/>
      <c r="K5" s="128"/>
      <c r="L5" s="128"/>
      <c r="M5" s="128"/>
      <c r="N5" s="128"/>
      <c r="O5" s="128"/>
      <c r="P5" s="128"/>
      <c r="Q5" s="129"/>
      <c r="W5" s="68" t="s">
        <v>2546</v>
      </c>
      <c r="X5" s="69" t="s">
        <v>2547</v>
      </c>
      <c r="Y5" s="69" t="s">
        <v>2548</v>
      </c>
      <c r="Z5" s="69" t="s">
        <v>2549</v>
      </c>
      <c r="AA5" s="70" t="s">
        <v>2550</v>
      </c>
    </row>
    <row r="6" spans="1:27" ht="30.45" customHeight="1">
      <c r="A6" s="130" t="s">
        <v>173</v>
      </c>
      <c r="B6" s="131"/>
      <c r="C6" s="131" t="s">
        <v>174</v>
      </c>
      <c r="D6" s="131"/>
      <c r="E6" s="131" t="s">
        <v>175</v>
      </c>
      <c r="F6" s="131"/>
      <c r="G6" s="131" t="s">
        <v>180</v>
      </c>
      <c r="H6" s="131"/>
      <c r="I6" s="131" t="s">
        <v>184</v>
      </c>
      <c r="J6" s="131"/>
      <c r="K6" s="131" t="s">
        <v>185</v>
      </c>
      <c r="L6" s="131"/>
      <c r="M6" s="131" t="s">
        <v>186</v>
      </c>
      <c r="N6" s="131"/>
      <c r="O6" s="131" t="s">
        <v>187</v>
      </c>
      <c r="P6" s="131"/>
      <c r="Q6" s="132"/>
      <c r="W6" s="68" t="s">
        <v>2551</v>
      </c>
      <c r="X6" s="69" t="s">
        <v>2552</v>
      </c>
      <c r="Y6" s="69" t="s">
        <v>2553</v>
      </c>
      <c r="Z6" s="69" t="s">
        <v>2554</v>
      </c>
      <c r="AA6" s="70" t="s">
        <v>2555</v>
      </c>
    </row>
    <row r="7" spans="1:27" ht="30.45" customHeight="1">
      <c r="A7" s="133">
        <f>COUNTIF(F22:Q22,"Passed")</f>
        <v>0</v>
      </c>
      <c r="B7" s="134"/>
      <c r="C7" s="134">
        <f>COUNTIF(F22:Q22,"Failed")</f>
        <v>0</v>
      </c>
      <c r="D7" s="134"/>
      <c r="E7" s="134">
        <f>COUNTIF(F22:Q22,"Blocked")</f>
        <v>0</v>
      </c>
      <c r="F7" s="134"/>
      <c r="G7" s="134">
        <f>12-A7-C7-E7</f>
        <v>12</v>
      </c>
      <c r="H7" s="134"/>
      <c r="I7" s="134">
        <f>COUNTIF(F21:Q21,"N")</f>
        <v>5</v>
      </c>
      <c r="J7" s="134"/>
      <c r="K7" s="134">
        <f>COUNTIF(F21:Q21,"A")</f>
        <v>5</v>
      </c>
      <c r="L7" s="134"/>
      <c r="M7" s="134">
        <f>COUNTIF(F21:Q21,"B")</f>
        <v>2</v>
      </c>
      <c r="N7" s="134"/>
      <c r="O7" s="134">
        <v>12</v>
      </c>
      <c r="P7" s="134"/>
      <c r="Q7" s="135"/>
      <c r="W7" s="68" t="s">
        <v>2556</v>
      </c>
      <c r="X7" s="69" t="s">
        <v>2557</v>
      </c>
      <c r="Y7" s="69" t="s">
        <v>2558</v>
      </c>
      <c r="Z7" s="69" t="s">
        <v>2559</v>
      </c>
      <c r="AA7" s="70" t="s">
        <v>2560</v>
      </c>
    </row>
    <row r="8" spans="1:27" ht="30.45" customHeight="1">
      <c r="A8" s="1"/>
      <c r="B8" s="1"/>
      <c r="C8" s="1"/>
      <c r="D8" s="1"/>
      <c r="E8" s="1"/>
      <c r="F8" s="1"/>
      <c r="G8" s="1"/>
      <c r="H8" s="1"/>
      <c r="I8" s="1"/>
      <c r="J8" s="1"/>
      <c r="K8" s="1"/>
      <c r="L8" s="1"/>
      <c r="M8" s="1"/>
      <c r="N8" s="1"/>
      <c r="O8" s="1"/>
      <c r="P8" s="1"/>
      <c r="Q8" s="1"/>
      <c r="W8" s="71" t="s">
        <v>2561</v>
      </c>
      <c r="X8" s="72" t="s">
        <v>2562</v>
      </c>
      <c r="Y8" s="72" t="s">
        <v>1556</v>
      </c>
      <c r="Z8" s="72" t="s">
        <v>2563</v>
      </c>
      <c r="AA8" s="73" t="s">
        <v>2564</v>
      </c>
    </row>
    <row r="9" spans="1:27" ht="35.25" customHeight="1">
      <c r="A9" s="42"/>
      <c r="B9" s="43"/>
      <c r="C9" s="43"/>
      <c r="D9" s="43"/>
      <c r="E9" s="43"/>
      <c r="F9" s="43" t="s">
        <v>161</v>
      </c>
      <c r="G9" s="43" t="s">
        <v>2565</v>
      </c>
      <c r="H9" s="43" t="s">
        <v>2566</v>
      </c>
      <c r="I9" s="43" t="s">
        <v>2567</v>
      </c>
      <c r="J9" s="43" t="s">
        <v>2568</v>
      </c>
      <c r="K9" s="43" t="s">
        <v>2569</v>
      </c>
      <c r="L9" s="43" t="s">
        <v>2570</v>
      </c>
      <c r="M9" s="43" t="s">
        <v>2571</v>
      </c>
      <c r="N9" s="43" t="s">
        <v>2572</v>
      </c>
      <c r="O9" s="43" t="s">
        <v>2573</v>
      </c>
      <c r="P9" s="43" t="s">
        <v>2574</v>
      </c>
      <c r="Q9" s="44" t="s">
        <v>2575</v>
      </c>
      <c r="W9" s="139" t="s">
        <v>247</v>
      </c>
      <c r="X9" s="140"/>
      <c r="Y9" s="140"/>
      <c r="Z9" s="140"/>
      <c r="AA9" s="141"/>
    </row>
    <row r="10" spans="1:27" ht="38.4" customHeight="1">
      <c r="A10" s="136" t="s">
        <v>248</v>
      </c>
      <c r="B10" s="41" t="s">
        <v>249</v>
      </c>
      <c r="C10" s="41"/>
      <c r="D10" s="41"/>
      <c r="E10" s="41"/>
      <c r="F10" s="3" t="s">
        <v>2576</v>
      </c>
      <c r="G10" s="3" t="s">
        <v>2577</v>
      </c>
      <c r="H10" s="3" t="s">
        <v>2578</v>
      </c>
      <c r="I10" s="3" t="s">
        <v>2579</v>
      </c>
      <c r="J10" s="3" t="s">
        <v>2580</v>
      </c>
      <c r="K10" s="3" t="s">
        <v>2581</v>
      </c>
      <c r="L10" s="3" t="s">
        <v>2582</v>
      </c>
      <c r="M10" s="3" t="s">
        <v>2583</v>
      </c>
      <c r="N10" s="3" t="s">
        <v>2584</v>
      </c>
      <c r="O10" s="3" t="s">
        <v>2551</v>
      </c>
      <c r="P10" s="3" t="s">
        <v>2585</v>
      </c>
      <c r="Q10" s="7" t="s">
        <v>2586</v>
      </c>
    </row>
    <row r="11" spans="1:27" ht="35.25" customHeight="1">
      <c r="A11" s="136"/>
      <c r="B11" s="41" t="s">
        <v>261</v>
      </c>
      <c r="C11" s="41"/>
      <c r="D11" s="41"/>
      <c r="E11" s="41"/>
      <c r="F11" s="3" t="s">
        <v>2587</v>
      </c>
      <c r="G11" s="3" t="s">
        <v>2588</v>
      </c>
      <c r="H11" s="3" t="s">
        <v>2589</v>
      </c>
      <c r="I11" s="3" t="s">
        <v>2590</v>
      </c>
      <c r="J11" s="3" t="s">
        <v>2591</v>
      </c>
      <c r="K11" s="3" t="s">
        <v>2592</v>
      </c>
      <c r="L11" s="3" t="s">
        <v>2593</v>
      </c>
      <c r="M11" s="3" t="s">
        <v>2594</v>
      </c>
      <c r="N11" s="3" t="s">
        <v>2595</v>
      </c>
      <c r="O11" s="3" t="s">
        <v>2596</v>
      </c>
      <c r="P11" s="3" t="s">
        <v>2597</v>
      </c>
      <c r="Q11" s="7" t="s">
        <v>2591</v>
      </c>
    </row>
    <row r="12" spans="1:27" ht="22.35" customHeight="1">
      <c r="A12" s="136"/>
      <c r="B12" s="41" t="s">
        <v>274</v>
      </c>
      <c r="C12" s="41"/>
      <c r="D12" s="41"/>
      <c r="E12" s="41"/>
      <c r="F12" s="3" t="s">
        <v>2598</v>
      </c>
      <c r="G12" s="3" t="s">
        <v>2599</v>
      </c>
      <c r="H12" s="3" t="s">
        <v>2600</v>
      </c>
      <c r="I12" s="3" t="s">
        <v>2601</v>
      </c>
      <c r="J12" s="3" t="s">
        <v>2602</v>
      </c>
      <c r="K12" s="3" t="s">
        <v>2603</v>
      </c>
      <c r="L12" s="3" t="s">
        <v>2604</v>
      </c>
      <c r="M12" s="3" t="s">
        <v>2605</v>
      </c>
      <c r="N12" s="3" t="s">
        <v>2606</v>
      </c>
      <c r="O12" s="3" t="s">
        <v>2607</v>
      </c>
      <c r="P12" s="3" t="s">
        <v>2608</v>
      </c>
      <c r="Q12" s="7" t="s">
        <v>2609</v>
      </c>
      <c r="W12" s="138" t="s">
        <v>287</v>
      </c>
      <c r="X12" s="138"/>
      <c r="Y12" s="138"/>
      <c r="Z12" s="138"/>
      <c r="AA12" s="138"/>
    </row>
    <row r="13" spans="1:27" ht="22.35" customHeight="1">
      <c r="A13" s="136"/>
      <c r="B13" s="41" t="s">
        <v>288</v>
      </c>
      <c r="C13" s="41"/>
      <c r="D13" s="41"/>
      <c r="E13" s="41"/>
      <c r="F13" s="3" t="s">
        <v>2610</v>
      </c>
      <c r="G13" s="3" t="s">
        <v>2611</v>
      </c>
      <c r="H13" s="3" t="s">
        <v>2611</v>
      </c>
      <c r="I13" s="3" t="s">
        <v>2612</v>
      </c>
      <c r="J13" s="3" t="s">
        <v>2613</v>
      </c>
      <c r="K13" s="3" t="s">
        <v>2611</v>
      </c>
      <c r="L13" s="3" t="s">
        <v>2614</v>
      </c>
      <c r="M13" s="3" t="s">
        <v>2615</v>
      </c>
      <c r="N13" s="3" t="s">
        <v>2616</v>
      </c>
      <c r="O13" s="3" t="s">
        <v>2617</v>
      </c>
      <c r="P13" s="3" t="s">
        <v>292</v>
      </c>
      <c r="Q13" s="7" t="s">
        <v>2618</v>
      </c>
      <c r="W13" s="65" t="s">
        <v>299</v>
      </c>
      <c r="X13" s="66" t="s">
        <v>300</v>
      </c>
      <c r="Y13" s="66" t="s">
        <v>301</v>
      </c>
      <c r="Z13" s="66" t="s">
        <v>302</v>
      </c>
      <c r="AA13" s="67" t="s">
        <v>303</v>
      </c>
    </row>
    <row r="14" spans="1:27" ht="30.45" customHeight="1">
      <c r="A14" s="136" t="s">
        <v>304</v>
      </c>
      <c r="B14" s="41" t="s">
        <v>305</v>
      </c>
      <c r="C14" s="41"/>
      <c r="D14" s="41"/>
      <c r="E14" s="41"/>
      <c r="F14" s="3" t="s">
        <v>2619</v>
      </c>
      <c r="G14" s="3" t="s">
        <v>2619</v>
      </c>
      <c r="H14" s="3" t="s">
        <v>505</v>
      </c>
      <c r="I14" s="3" t="s">
        <v>2620</v>
      </c>
      <c r="J14" s="3" t="s">
        <v>505</v>
      </c>
      <c r="K14" s="3" t="s">
        <v>505</v>
      </c>
      <c r="L14" s="3" t="s">
        <v>2621</v>
      </c>
      <c r="M14" s="3" t="s">
        <v>2622</v>
      </c>
      <c r="N14" s="3" t="s">
        <v>2623</v>
      </c>
      <c r="O14" s="3" t="s">
        <v>2624</v>
      </c>
      <c r="P14" s="3" t="s">
        <v>2625</v>
      </c>
      <c r="Q14" s="7" t="s">
        <v>2626</v>
      </c>
      <c r="W14" s="74">
        <v>1</v>
      </c>
      <c r="X14" s="76" t="s">
        <v>316</v>
      </c>
      <c r="Y14" s="69" t="s">
        <v>2627</v>
      </c>
      <c r="Z14" s="69" t="s">
        <v>2628</v>
      </c>
      <c r="AA14" s="78" t="s">
        <v>161</v>
      </c>
    </row>
    <row r="15" spans="1:27" ht="30.45" customHeight="1">
      <c r="A15" s="136"/>
      <c r="B15" s="41" t="s">
        <v>319</v>
      </c>
      <c r="C15" s="41"/>
      <c r="D15" s="41"/>
      <c r="E15" s="41"/>
      <c r="F15" s="3" t="s">
        <v>2629</v>
      </c>
      <c r="G15" s="3" t="s">
        <v>2630</v>
      </c>
      <c r="H15" s="3" t="s">
        <v>2631</v>
      </c>
      <c r="I15" s="3" t="s">
        <v>2632</v>
      </c>
      <c r="J15" s="3" t="s">
        <v>2633</v>
      </c>
      <c r="K15" s="3" t="s">
        <v>2634</v>
      </c>
      <c r="L15" s="3" t="s">
        <v>2631</v>
      </c>
      <c r="M15" s="3" t="s">
        <v>2635</v>
      </c>
      <c r="N15" s="3" t="s">
        <v>2629</v>
      </c>
      <c r="O15" s="3" t="s">
        <v>2636</v>
      </c>
      <c r="P15" s="3" t="s">
        <v>2637</v>
      </c>
      <c r="Q15" s="7" t="s">
        <v>2629</v>
      </c>
      <c r="W15" s="74">
        <v>2</v>
      </c>
      <c r="X15" s="76" t="s">
        <v>332</v>
      </c>
      <c r="Y15" s="69" t="s">
        <v>2638</v>
      </c>
      <c r="Z15" s="69" t="s">
        <v>2639</v>
      </c>
      <c r="AA15" s="78" t="s">
        <v>2565</v>
      </c>
    </row>
    <row r="16" spans="1:27" ht="30.45" customHeight="1">
      <c r="A16" s="136"/>
      <c r="B16" s="41" t="s">
        <v>335</v>
      </c>
      <c r="C16" s="41"/>
      <c r="D16" s="41"/>
      <c r="E16" s="41"/>
      <c r="F16" s="3" t="s">
        <v>2640</v>
      </c>
      <c r="G16" s="3" t="s">
        <v>292</v>
      </c>
      <c r="H16" s="3" t="s">
        <v>292</v>
      </c>
      <c r="I16" s="3" t="s">
        <v>2641</v>
      </c>
      <c r="J16" s="3" t="s">
        <v>2498</v>
      </c>
      <c r="K16" s="3" t="s">
        <v>2642</v>
      </c>
      <c r="L16" s="3" t="s">
        <v>2635</v>
      </c>
      <c r="M16" s="3" t="s">
        <v>2643</v>
      </c>
      <c r="N16" s="3" t="s">
        <v>2644</v>
      </c>
      <c r="O16" s="3" t="s">
        <v>2645</v>
      </c>
      <c r="P16" s="3" t="s">
        <v>2646</v>
      </c>
      <c r="Q16" s="7" t="s">
        <v>292</v>
      </c>
      <c r="W16" s="74">
        <v>3</v>
      </c>
      <c r="X16" s="76" t="s">
        <v>332</v>
      </c>
      <c r="Y16" s="69" t="s">
        <v>2647</v>
      </c>
      <c r="Z16" s="69" t="s">
        <v>2648</v>
      </c>
      <c r="AA16" s="78" t="s">
        <v>2566</v>
      </c>
    </row>
    <row r="17" spans="1:27" ht="30.45" customHeight="1">
      <c r="A17" s="136"/>
      <c r="B17" s="41" t="s">
        <v>346</v>
      </c>
      <c r="C17" s="41"/>
      <c r="D17" s="41"/>
      <c r="E17" s="41"/>
      <c r="F17" s="3" t="s">
        <v>292</v>
      </c>
      <c r="G17" s="3" t="s">
        <v>292</v>
      </c>
      <c r="H17" s="3" t="s">
        <v>292</v>
      </c>
      <c r="I17" s="3" t="s">
        <v>2643</v>
      </c>
      <c r="J17" s="3" t="s">
        <v>292</v>
      </c>
      <c r="K17" s="3" t="s">
        <v>292</v>
      </c>
      <c r="L17" s="3" t="s">
        <v>2643</v>
      </c>
      <c r="M17" s="3" t="s">
        <v>292</v>
      </c>
      <c r="N17" s="3" t="s">
        <v>292</v>
      </c>
      <c r="O17" s="3" t="s">
        <v>2649</v>
      </c>
      <c r="P17" s="3" t="s">
        <v>2650</v>
      </c>
      <c r="Q17" s="7" t="s">
        <v>292</v>
      </c>
      <c r="W17" s="74">
        <v>4</v>
      </c>
      <c r="X17" s="76" t="s">
        <v>316</v>
      </c>
      <c r="Y17" s="69" t="s">
        <v>2651</v>
      </c>
      <c r="Z17" s="69" t="s">
        <v>2652</v>
      </c>
      <c r="AA17" s="78" t="s">
        <v>2567</v>
      </c>
    </row>
    <row r="18" spans="1:27" ht="30.45" customHeight="1">
      <c r="A18" s="136"/>
      <c r="B18" s="41" t="s">
        <v>302</v>
      </c>
      <c r="C18" s="41"/>
      <c r="D18" s="41"/>
      <c r="E18" s="41"/>
      <c r="F18" s="3" t="s">
        <v>2628</v>
      </c>
      <c r="G18" s="3" t="s">
        <v>2639</v>
      </c>
      <c r="H18" s="3" t="s">
        <v>2648</v>
      </c>
      <c r="I18" s="3" t="s">
        <v>2652</v>
      </c>
      <c r="J18" s="3" t="s">
        <v>2653</v>
      </c>
      <c r="K18" s="3" t="s">
        <v>2654</v>
      </c>
      <c r="L18" s="3" t="s">
        <v>2655</v>
      </c>
      <c r="M18" s="3" t="s">
        <v>2656</v>
      </c>
      <c r="N18" s="3" t="s">
        <v>2657</v>
      </c>
      <c r="O18" s="3" t="s">
        <v>2658</v>
      </c>
      <c r="P18" s="3" t="s">
        <v>2659</v>
      </c>
      <c r="Q18" s="7" t="s">
        <v>2660</v>
      </c>
      <c r="W18" s="74">
        <v>5</v>
      </c>
      <c r="X18" s="76" t="s">
        <v>332</v>
      </c>
      <c r="Y18" s="69" t="s">
        <v>2661</v>
      </c>
      <c r="Z18" s="69" t="s">
        <v>2653</v>
      </c>
      <c r="AA18" s="78" t="s">
        <v>2568</v>
      </c>
    </row>
    <row r="19" spans="1:27" ht="30.45" customHeight="1">
      <c r="A19" s="136"/>
      <c r="B19" s="41" t="s">
        <v>369</v>
      </c>
      <c r="C19" s="41"/>
      <c r="D19" s="41"/>
      <c r="E19" s="41"/>
      <c r="F19" s="3"/>
      <c r="G19" s="3" t="s">
        <v>2662</v>
      </c>
      <c r="H19" s="3" t="s">
        <v>2662</v>
      </c>
      <c r="I19" s="3"/>
      <c r="J19" s="3" t="s">
        <v>1506</v>
      </c>
      <c r="K19" s="3"/>
      <c r="L19" s="3"/>
      <c r="M19" s="3"/>
      <c r="N19" s="3" t="s">
        <v>2663</v>
      </c>
      <c r="O19" s="3"/>
      <c r="P19" s="3" t="s">
        <v>2664</v>
      </c>
      <c r="Q19" s="7" t="s">
        <v>2665</v>
      </c>
      <c r="W19" s="74">
        <v>6</v>
      </c>
      <c r="X19" s="76" t="s">
        <v>316</v>
      </c>
      <c r="Y19" s="69" t="s">
        <v>2666</v>
      </c>
      <c r="Z19" s="69" t="s">
        <v>2654</v>
      </c>
      <c r="AA19" s="78" t="s">
        <v>2569</v>
      </c>
    </row>
    <row r="20" spans="1:27" ht="30.45" customHeight="1">
      <c r="A20" s="136"/>
      <c r="B20" s="41" t="s">
        <v>378</v>
      </c>
      <c r="C20" s="41"/>
      <c r="D20" s="41"/>
      <c r="E20" s="41"/>
      <c r="F20" s="3" t="s">
        <v>2410</v>
      </c>
      <c r="G20" s="3" t="s">
        <v>2667</v>
      </c>
      <c r="H20" s="3" t="s">
        <v>2667</v>
      </c>
      <c r="I20" s="3" t="s">
        <v>2668</v>
      </c>
      <c r="J20" s="3" t="s">
        <v>2669</v>
      </c>
      <c r="K20" s="3" t="s">
        <v>2670</v>
      </c>
      <c r="L20" s="3" t="s">
        <v>2671</v>
      </c>
      <c r="M20" s="3" t="s">
        <v>2672</v>
      </c>
      <c r="N20" s="3" t="s">
        <v>1702</v>
      </c>
      <c r="O20" s="3" t="s">
        <v>2673</v>
      </c>
      <c r="P20" s="3" t="s">
        <v>2674</v>
      </c>
      <c r="Q20" s="7" t="s">
        <v>2675</v>
      </c>
      <c r="W20" s="74">
        <v>7</v>
      </c>
      <c r="X20" s="76" t="s">
        <v>316</v>
      </c>
      <c r="Y20" s="69" t="s">
        <v>2676</v>
      </c>
      <c r="Z20" s="69" t="s">
        <v>2655</v>
      </c>
      <c r="AA20" s="78" t="s">
        <v>2570</v>
      </c>
    </row>
    <row r="21" spans="1:27" ht="30.45" customHeight="1">
      <c r="A21" s="136" t="s">
        <v>392</v>
      </c>
      <c r="B21" s="41" t="s">
        <v>393</v>
      </c>
      <c r="C21" s="41"/>
      <c r="D21" s="41"/>
      <c r="E21" s="41"/>
      <c r="F21" s="48" t="s">
        <v>184</v>
      </c>
      <c r="G21" s="48" t="s">
        <v>185</v>
      </c>
      <c r="H21" s="48" t="s">
        <v>185</v>
      </c>
      <c r="I21" s="48" t="s">
        <v>184</v>
      </c>
      <c r="J21" s="48" t="s">
        <v>185</v>
      </c>
      <c r="K21" s="48" t="s">
        <v>184</v>
      </c>
      <c r="L21" s="48" t="s">
        <v>184</v>
      </c>
      <c r="M21" s="48" t="s">
        <v>184</v>
      </c>
      <c r="N21" s="48" t="s">
        <v>185</v>
      </c>
      <c r="O21" s="48" t="s">
        <v>186</v>
      </c>
      <c r="P21" s="48" t="s">
        <v>186</v>
      </c>
      <c r="Q21" s="49" t="s">
        <v>185</v>
      </c>
      <c r="W21" s="74">
        <v>8</v>
      </c>
      <c r="X21" s="76" t="s">
        <v>316</v>
      </c>
      <c r="Y21" s="69" t="s">
        <v>2677</v>
      </c>
      <c r="Z21" s="69" t="s">
        <v>2656</v>
      </c>
      <c r="AA21" s="78" t="s">
        <v>2571</v>
      </c>
    </row>
    <row r="22" spans="1:27" ht="19.2" customHeight="1">
      <c r="A22" s="136"/>
      <c r="B22" s="83" t="s">
        <v>395</v>
      </c>
      <c r="C22" s="84"/>
      <c r="D22" s="84"/>
      <c r="E22" s="85"/>
      <c r="F22" s="86"/>
      <c r="G22" s="87"/>
      <c r="H22" s="87"/>
      <c r="I22" s="87"/>
      <c r="J22" s="87"/>
      <c r="K22" s="87"/>
      <c r="L22" s="87"/>
      <c r="M22" s="87"/>
      <c r="N22" s="87"/>
      <c r="O22" s="87"/>
      <c r="P22" s="87"/>
      <c r="Q22" s="88"/>
      <c r="W22" s="74">
        <v>9</v>
      </c>
      <c r="X22" s="76" t="s">
        <v>332</v>
      </c>
      <c r="Y22" s="69" t="s">
        <v>2678</v>
      </c>
      <c r="Z22" s="69" t="s">
        <v>2657</v>
      </c>
      <c r="AA22" s="78" t="s">
        <v>2572</v>
      </c>
    </row>
    <row r="23" spans="1:27" ht="30.45" customHeight="1">
      <c r="A23" s="136"/>
      <c r="B23" s="41" t="s">
        <v>397</v>
      </c>
      <c r="C23" s="41"/>
      <c r="D23" s="41"/>
      <c r="E23" s="41"/>
      <c r="F23" s="50"/>
      <c r="G23" s="50"/>
      <c r="H23" s="50"/>
      <c r="I23" s="50"/>
      <c r="J23" s="50"/>
      <c r="K23" s="50"/>
      <c r="L23" s="50"/>
      <c r="M23" s="50"/>
      <c r="N23" s="50"/>
      <c r="O23" s="50"/>
      <c r="P23" s="50"/>
      <c r="Q23" s="51"/>
      <c r="W23" s="74">
        <v>10</v>
      </c>
      <c r="X23" s="76" t="s">
        <v>357</v>
      </c>
      <c r="Y23" s="69" t="s">
        <v>2679</v>
      </c>
      <c r="Z23" s="69" t="s">
        <v>2658</v>
      </c>
      <c r="AA23" s="78" t="s">
        <v>2573</v>
      </c>
    </row>
    <row r="24" spans="1:27" ht="30.45" customHeight="1">
      <c r="A24" s="137"/>
      <c r="B24" s="45" t="s">
        <v>399</v>
      </c>
      <c r="C24" s="45"/>
      <c r="D24" s="45"/>
      <c r="E24" s="45"/>
      <c r="F24" s="46"/>
      <c r="G24" s="46"/>
      <c r="H24" s="46"/>
      <c r="I24" s="46"/>
      <c r="J24" s="46"/>
      <c r="K24" s="46"/>
      <c r="L24" s="46"/>
      <c r="M24" s="46"/>
      <c r="N24" s="46"/>
      <c r="O24" s="46"/>
      <c r="P24" s="46"/>
      <c r="Q24" s="47"/>
      <c r="W24" s="74">
        <v>11</v>
      </c>
      <c r="X24" s="76" t="s">
        <v>357</v>
      </c>
      <c r="Y24" s="69" t="s">
        <v>2680</v>
      </c>
      <c r="Z24" s="69" t="s">
        <v>2659</v>
      </c>
      <c r="AA24" s="78" t="s">
        <v>2574</v>
      </c>
    </row>
    <row r="25" spans="1:27" ht="30.45" customHeight="1">
      <c r="W25" s="75">
        <v>12</v>
      </c>
      <c r="X25" s="77" t="s">
        <v>332</v>
      </c>
      <c r="Y25" s="72" t="s">
        <v>2681</v>
      </c>
      <c r="Z25" s="72" t="s">
        <v>2660</v>
      </c>
      <c r="AA25" s="79" t="s">
        <v>2575</v>
      </c>
    </row>
  </sheetData>
  <mergeCells count="34">
    <mergeCell ref="A21:A24"/>
    <mergeCell ref="W2:AA2"/>
    <mergeCell ref="W9:AA9"/>
    <mergeCell ref="W12:AA12"/>
    <mergeCell ref="K7:L7"/>
    <mergeCell ref="M7:N7"/>
    <mergeCell ref="O7:Q7"/>
    <mergeCell ref="A10:A13"/>
    <mergeCell ref="A14:A20"/>
    <mergeCell ref="A7:B7"/>
    <mergeCell ref="C7:D7"/>
    <mergeCell ref="E7:F7"/>
    <mergeCell ref="G7:H7"/>
    <mergeCell ref="I7:J7"/>
    <mergeCell ref="A4:B4"/>
    <mergeCell ref="C4:Q4"/>
    <mergeCell ref="A5:B5"/>
    <mergeCell ref="C5:Q5"/>
    <mergeCell ref="A6:B6"/>
    <mergeCell ref="C6:D6"/>
    <mergeCell ref="E6:F6"/>
    <mergeCell ref="G6:H6"/>
    <mergeCell ref="I6:J6"/>
    <mergeCell ref="K6:L6"/>
    <mergeCell ref="M6:N6"/>
    <mergeCell ref="O6:Q6"/>
    <mergeCell ref="A2:B2"/>
    <mergeCell ref="C2:D2"/>
    <mergeCell ref="F2:G2"/>
    <mergeCell ref="H2:Q2"/>
    <mergeCell ref="A3:B3"/>
    <mergeCell ref="C3:D3"/>
    <mergeCell ref="F3:G3"/>
    <mergeCell ref="H3:Q3"/>
  </mergeCells>
  <conditionalFormatting sqref="F22:Q22">
    <cfRule type="expression" dxfId="5" priority="1">
      <formula>F22="Passed"</formula>
    </cfRule>
    <cfRule type="expression" dxfId="4" priority="2">
      <formula>F22="Failed"</formula>
    </cfRule>
    <cfRule type="expression" dxfId="3" priority="3">
      <formula>F22="Blocked"</formula>
    </cfRule>
  </conditionalFormatting>
  <dataValidations count="1">
    <dataValidation type="list" sqref="F22:Q22" xr:uid="{00000000-0002-0000-1300-000000000000}">
      <formula1>"Passed,Failed,Blocked"</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A25"/>
  <sheetViews>
    <sheetView topLeftCell="F10" workbookViewId="0">
      <selection activeCell="H2" sqref="H2:Q2"/>
    </sheetView>
  </sheetViews>
  <sheetFormatPr defaultRowHeight="13.8"/>
  <cols>
    <col min="1" max="1" width="15" customWidth="1"/>
    <col min="2" max="5" width="16" customWidth="1"/>
    <col min="6" max="17" width="20" customWidth="1"/>
    <col min="23" max="24" width="20" customWidth="1"/>
    <col min="25" max="26" width="38" customWidth="1"/>
    <col min="27" max="27" width="16" customWidth="1"/>
  </cols>
  <sheetData>
    <row r="1" spans="1:27">
      <c r="A1" s="1"/>
      <c r="B1" s="1"/>
      <c r="C1" s="1"/>
      <c r="D1" s="1"/>
      <c r="E1" s="1"/>
      <c r="F1" s="1"/>
      <c r="G1" s="1"/>
      <c r="H1" s="1"/>
      <c r="I1" s="1"/>
      <c r="J1" s="1"/>
      <c r="K1" s="1"/>
      <c r="L1" s="1"/>
      <c r="M1" s="1"/>
      <c r="N1" s="1"/>
      <c r="O1" s="1"/>
      <c r="P1" s="1"/>
      <c r="Q1" s="1"/>
    </row>
    <row r="2" spans="1:27" ht="22.35" customHeight="1">
      <c r="A2" s="122" t="s">
        <v>199</v>
      </c>
      <c r="B2" s="123"/>
      <c r="C2" s="124" t="s">
        <v>167</v>
      </c>
      <c r="D2" s="124"/>
      <c r="E2" s="18"/>
      <c r="F2" s="123" t="s">
        <v>63</v>
      </c>
      <c r="G2" s="123"/>
      <c r="H2" s="124" t="s">
        <v>166</v>
      </c>
      <c r="I2" s="124"/>
      <c r="J2" s="124"/>
      <c r="K2" s="124"/>
      <c r="L2" s="124"/>
      <c r="M2" s="124"/>
      <c r="N2" s="124"/>
      <c r="O2" s="124"/>
      <c r="P2" s="124"/>
      <c r="Q2" s="125"/>
      <c r="W2" s="138" t="s">
        <v>200</v>
      </c>
      <c r="X2" s="138"/>
      <c r="Y2" s="138"/>
      <c r="Z2" s="138"/>
      <c r="AA2" s="138"/>
    </row>
    <row r="3" spans="1:27" ht="22.35" customHeight="1">
      <c r="A3" s="126" t="s">
        <v>201</v>
      </c>
      <c r="B3" s="127"/>
      <c r="C3" s="128" t="s">
        <v>37</v>
      </c>
      <c r="D3" s="128"/>
      <c r="E3" s="1"/>
      <c r="F3" s="127" t="s">
        <v>202</v>
      </c>
      <c r="G3" s="127"/>
      <c r="H3" s="128"/>
      <c r="I3" s="128"/>
      <c r="J3" s="128"/>
      <c r="K3" s="128"/>
      <c r="L3" s="128"/>
      <c r="M3" s="128"/>
      <c r="N3" s="128"/>
      <c r="O3" s="128"/>
      <c r="P3" s="128"/>
      <c r="Q3" s="129"/>
      <c r="W3" s="65" t="s">
        <v>203</v>
      </c>
      <c r="X3" s="66" t="s">
        <v>204</v>
      </c>
      <c r="Y3" s="66" t="s">
        <v>205</v>
      </c>
      <c r="Z3" s="66" t="s">
        <v>206</v>
      </c>
      <c r="AA3" s="67" t="s">
        <v>207</v>
      </c>
    </row>
    <row r="4" spans="1:27" ht="30.45" customHeight="1">
      <c r="A4" s="126" t="s">
        <v>208</v>
      </c>
      <c r="B4" s="127"/>
      <c r="C4" s="128" t="s">
        <v>2682</v>
      </c>
      <c r="D4" s="128"/>
      <c r="E4" s="128"/>
      <c r="F4" s="128"/>
      <c r="G4" s="128"/>
      <c r="H4" s="128"/>
      <c r="I4" s="128"/>
      <c r="J4" s="128"/>
      <c r="K4" s="128"/>
      <c r="L4" s="128"/>
      <c r="M4" s="128"/>
      <c r="N4" s="128"/>
      <c r="O4" s="128"/>
      <c r="P4" s="128"/>
      <c r="Q4" s="129"/>
      <c r="W4" s="68" t="s">
        <v>1035</v>
      </c>
      <c r="X4" s="69" t="s">
        <v>2683</v>
      </c>
      <c r="Y4" s="69" t="s">
        <v>2684</v>
      </c>
      <c r="Z4" s="69" t="s">
        <v>2685</v>
      </c>
      <c r="AA4" s="70" t="s">
        <v>2686</v>
      </c>
    </row>
    <row r="5" spans="1:27" ht="30.45" customHeight="1">
      <c r="A5" s="126" t="s">
        <v>215</v>
      </c>
      <c r="B5" s="127"/>
      <c r="C5" s="128" t="s">
        <v>164</v>
      </c>
      <c r="D5" s="128"/>
      <c r="E5" s="128"/>
      <c r="F5" s="128"/>
      <c r="G5" s="128"/>
      <c r="H5" s="128"/>
      <c r="I5" s="128"/>
      <c r="J5" s="128"/>
      <c r="K5" s="128"/>
      <c r="L5" s="128"/>
      <c r="M5" s="128"/>
      <c r="N5" s="128"/>
      <c r="O5" s="128"/>
      <c r="P5" s="128"/>
      <c r="Q5" s="129"/>
      <c r="W5" s="68" t="s">
        <v>2687</v>
      </c>
      <c r="X5" s="69" t="s">
        <v>2688</v>
      </c>
      <c r="Y5" s="69" t="s">
        <v>2689</v>
      </c>
      <c r="Z5" s="69" t="s">
        <v>2690</v>
      </c>
      <c r="AA5" s="70" t="s">
        <v>2691</v>
      </c>
    </row>
    <row r="6" spans="1:27" ht="30.45" customHeight="1">
      <c r="A6" s="130" t="s">
        <v>173</v>
      </c>
      <c r="B6" s="131"/>
      <c r="C6" s="131" t="s">
        <v>174</v>
      </c>
      <c r="D6" s="131"/>
      <c r="E6" s="131" t="s">
        <v>175</v>
      </c>
      <c r="F6" s="131"/>
      <c r="G6" s="131" t="s">
        <v>180</v>
      </c>
      <c r="H6" s="131"/>
      <c r="I6" s="131" t="s">
        <v>184</v>
      </c>
      <c r="J6" s="131"/>
      <c r="K6" s="131" t="s">
        <v>185</v>
      </c>
      <c r="L6" s="131"/>
      <c r="M6" s="131" t="s">
        <v>186</v>
      </c>
      <c r="N6" s="131"/>
      <c r="O6" s="131" t="s">
        <v>187</v>
      </c>
      <c r="P6" s="131"/>
      <c r="Q6" s="132"/>
      <c r="W6" s="68" t="s">
        <v>2692</v>
      </c>
      <c r="X6" s="69" t="s">
        <v>2693</v>
      </c>
      <c r="Y6" s="69" t="s">
        <v>2694</v>
      </c>
      <c r="Z6" s="69" t="s">
        <v>2695</v>
      </c>
      <c r="AA6" s="70" t="s">
        <v>2696</v>
      </c>
    </row>
    <row r="7" spans="1:27" ht="30.45" customHeight="1">
      <c r="A7" s="133">
        <f>COUNTIF(F22:Q22,"Passed")</f>
        <v>0</v>
      </c>
      <c r="B7" s="134"/>
      <c r="C7" s="134">
        <f>COUNTIF(F22:Q22,"Failed")</f>
        <v>0</v>
      </c>
      <c r="D7" s="134"/>
      <c r="E7" s="134">
        <f>COUNTIF(F22:Q22,"Blocked")</f>
        <v>0</v>
      </c>
      <c r="F7" s="134"/>
      <c r="G7" s="134">
        <f>12-A7-C7-E7</f>
        <v>12</v>
      </c>
      <c r="H7" s="134"/>
      <c r="I7" s="134">
        <f>COUNTIF(F21:Q21,"N")</f>
        <v>6</v>
      </c>
      <c r="J7" s="134"/>
      <c r="K7" s="134">
        <f>COUNTIF(F21:Q21,"A")</f>
        <v>5</v>
      </c>
      <c r="L7" s="134"/>
      <c r="M7" s="134">
        <f>COUNTIF(F21:Q21,"B")</f>
        <v>1</v>
      </c>
      <c r="N7" s="134"/>
      <c r="O7" s="134">
        <v>12</v>
      </c>
      <c r="P7" s="134"/>
      <c r="Q7" s="135"/>
      <c r="W7" s="68" t="s">
        <v>2697</v>
      </c>
      <c r="X7" s="69" t="s">
        <v>2698</v>
      </c>
      <c r="Y7" s="69" t="s">
        <v>2699</v>
      </c>
      <c r="Z7" s="69" t="s">
        <v>2700</v>
      </c>
      <c r="AA7" s="70" t="s">
        <v>2701</v>
      </c>
    </row>
    <row r="8" spans="1:27" ht="30.45" customHeight="1">
      <c r="A8" s="1"/>
      <c r="B8" s="1"/>
      <c r="C8" s="1"/>
      <c r="D8" s="1"/>
      <c r="E8" s="1"/>
      <c r="F8" s="1"/>
      <c r="G8" s="1"/>
      <c r="H8" s="1"/>
      <c r="I8" s="1"/>
      <c r="J8" s="1"/>
      <c r="K8" s="1"/>
      <c r="L8" s="1"/>
      <c r="M8" s="1"/>
      <c r="N8" s="1"/>
      <c r="O8" s="1"/>
      <c r="P8" s="1"/>
      <c r="Q8" s="1"/>
      <c r="W8" s="71" t="s">
        <v>2702</v>
      </c>
      <c r="X8" s="72" t="s">
        <v>2703</v>
      </c>
      <c r="Y8" s="72" t="s">
        <v>2169</v>
      </c>
      <c r="Z8" s="72" t="s">
        <v>2704</v>
      </c>
      <c r="AA8" s="73" t="s">
        <v>2705</v>
      </c>
    </row>
    <row r="9" spans="1:27" ht="35.25" customHeight="1">
      <c r="A9" s="42"/>
      <c r="B9" s="43"/>
      <c r="C9" s="43"/>
      <c r="D9" s="43"/>
      <c r="E9" s="43"/>
      <c r="F9" s="43" t="s">
        <v>167</v>
      </c>
      <c r="G9" s="43" t="s">
        <v>2706</v>
      </c>
      <c r="H9" s="43" t="s">
        <v>2707</v>
      </c>
      <c r="I9" s="43" t="s">
        <v>2708</v>
      </c>
      <c r="J9" s="43" t="s">
        <v>2709</v>
      </c>
      <c r="K9" s="43" t="s">
        <v>2710</v>
      </c>
      <c r="L9" s="43" t="s">
        <v>2711</v>
      </c>
      <c r="M9" s="43" t="s">
        <v>2712</v>
      </c>
      <c r="N9" s="43" t="s">
        <v>2713</v>
      </c>
      <c r="O9" s="43" t="s">
        <v>2714</v>
      </c>
      <c r="P9" s="43" t="s">
        <v>2715</v>
      </c>
      <c r="Q9" s="44" t="s">
        <v>2716</v>
      </c>
      <c r="W9" s="139" t="s">
        <v>247</v>
      </c>
      <c r="X9" s="140"/>
      <c r="Y9" s="140"/>
      <c r="Z9" s="140"/>
      <c r="AA9" s="141"/>
    </row>
    <row r="10" spans="1:27" ht="38.4" customHeight="1">
      <c r="A10" s="136" t="s">
        <v>248</v>
      </c>
      <c r="B10" s="41" t="s">
        <v>249</v>
      </c>
      <c r="C10" s="41"/>
      <c r="D10" s="41"/>
      <c r="E10" s="41"/>
      <c r="F10" s="3" t="s">
        <v>2717</v>
      </c>
      <c r="G10" s="3" t="s">
        <v>2718</v>
      </c>
      <c r="H10" s="3" t="s">
        <v>2719</v>
      </c>
      <c r="I10" s="3" t="s">
        <v>2720</v>
      </c>
      <c r="J10" s="3" t="s">
        <v>2721</v>
      </c>
      <c r="K10" s="3" t="s">
        <v>2722</v>
      </c>
      <c r="L10" s="3" t="s">
        <v>2723</v>
      </c>
      <c r="M10" s="3" t="s">
        <v>2724</v>
      </c>
      <c r="N10" s="3" t="s">
        <v>2725</v>
      </c>
      <c r="O10" s="3" t="s">
        <v>2726</v>
      </c>
      <c r="P10" s="3" t="s">
        <v>2727</v>
      </c>
      <c r="Q10" s="7" t="s">
        <v>2728</v>
      </c>
    </row>
    <row r="11" spans="1:27" ht="35.25" customHeight="1">
      <c r="A11" s="136"/>
      <c r="B11" s="41" t="s">
        <v>261</v>
      </c>
      <c r="C11" s="41"/>
      <c r="D11" s="41"/>
      <c r="E11" s="41"/>
      <c r="F11" s="3" t="s">
        <v>2729</v>
      </c>
      <c r="G11" s="3" t="s">
        <v>2730</v>
      </c>
      <c r="H11" s="3" t="s">
        <v>2731</v>
      </c>
      <c r="I11" s="3" t="s">
        <v>2732</v>
      </c>
      <c r="J11" s="3" t="s">
        <v>2733</v>
      </c>
      <c r="K11" s="3" t="s">
        <v>2734</v>
      </c>
      <c r="L11" s="3" t="s">
        <v>2735</v>
      </c>
      <c r="M11" s="3" t="s">
        <v>2736</v>
      </c>
      <c r="N11" s="3" t="s">
        <v>2736</v>
      </c>
      <c r="O11" s="3" t="s">
        <v>2737</v>
      </c>
      <c r="P11" s="3" t="s">
        <v>2738</v>
      </c>
      <c r="Q11" s="7" t="s">
        <v>2739</v>
      </c>
    </row>
    <row r="12" spans="1:27" ht="22.35" customHeight="1">
      <c r="A12" s="136"/>
      <c r="B12" s="41" t="s">
        <v>274</v>
      </c>
      <c r="C12" s="41"/>
      <c r="D12" s="41"/>
      <c r="E12" s="41"/>
      <c r="F12" s="3" t="s">
        <v>1247</v>
      </c>
      <c r="G12" s="3" t="s">
        <v>2740</v>
      </c>
      <c r="H12" s="3" t="s">
        <v>932</v>
      </c>
      <c r="I12" s="3" t="s">
        <v>2741</v>
      </c>
      <c r="J12" s="3" t="s">
        <v>2742</v>
      </c>
      <c r="K12" s="3" t="s">
        <v>2743</v>
      </c>
      <c r="L12" s="3" t="s">
        <v>2744</v>
      </c>
      <c r="M12" s="3" t="s">
        <v>2745</v>
      </c>
      <c r="N12" s="3" t="s">
        <v>296</v>
      </c>
      <c r="O12" s="3" t="s">
        <v>2746</v>
      </c>
      <c r="P12" s="3" t="s">
        <v>2747</v>
      </c>
      <c r="Q12" s="7" t="s">
        <v>2474</v>
      </c>
      <c r="W12" s="138" t="s">
        <v>287</v>
      </c>
      <c r="X12" s="138"/>
      <c r="Y12" s="138"/>
      <c r="Z12" s="138"/>
      <c r="AA12" s="138"/>
    </row>
    <row r="13" spans="1:27" ht="22.35" customHeight="1">
      <c r="A13" s="136"/>
      <c r="B13" s="41" t="s">
        <v>288</v>
      </c>
      <c r="C13" s="41"/>
      <c r="D13" s="41"/>
      <c r="E13" s="41"/>
      <c r="F13" s="3" t="s">
        <v>2748</v>
      </c>
      <c r="G13" s="3" t="s">
        <v>292</v>
      </c>
      <c r="H13" s="3" t="s">
        <v>304</v>
      </c>
      <c r="I13" s="3" t="s">
        <v>292</v>
      </c>
      <c r="J13" s="3" t="s">
        <v>292</v>
      </c>
      <c r="K13" s="3" t="s">
        <v>2749</v>
      </c>
      <c r="L13" s="3" t="s">
        <v>292</v>
      </c>
      <c r="M13" s="3" t="s">
        <v>2750</v>
      </c>
      <c r="N13" s="3" t="s">
        <v>2750</v>
      </c>
      <c r="O13" s="3" t="s">
        <v>327</v>
      </c>
      <c r="P13" s="3" t="s">
        <v>292</v>
      </c>
      <c r="Q13" s="7" t="s">
        <v>2751</v>
      </c>
      <c r="W13" s="65" t="s">
        <v>299</v>
      </c>
      <c r="X13" s="66" t="s">
        <v>300</v>
      </c>
      <c r="Y13" s="66" t="s">
        <v>301</v>
      </c>
      <c r="Z13" s="66" t="s">
        <v>302</v>
      </c>
      <c r="AA13" s="67" t="s">
        <v>303</v>
      </c>
    </row>
    <row r="14" spans="1:27" ht="30.45" customHeight="1">
      <c r="A14" s="136" t="s">
        <v>304</v>
      </c>
      <c r="B14" s="41" t="s">
        <v>305</v>
      </c>
      <c r="C14" s="41"/>
      <c r="D14" s="41"/>
      <c r="E14" s="41"/>
      <c r="F14" s="3" t="s">
        <v>2752</v>
      </c>
      <c r="G14" s="3" t="s">
        <v>2753</v>
      </c>
      <c r="H14" s="3" t="s">
        <v>2752</v>
      </c>
      <c r="I14" s="3" t="s">
        <v>2752</v>
      </c>
      <c r="J14" s="3" t="s">
        <v>2754</v>
      </c>
      <c r="K14" s="3" t="s">
        <v>2489</v>
      </c>
      <c r="L14" s="3" t="s">
        <v>2489</v>
      </c>
      <c r="M14" s="3" t="s">
        <v>2755</v>
      </c>
      <c r="N14" s="3" t="s">
        <v>2619</v>
      </c>
      <c r="O14" s="3" t="s">
        <v>2756</v>
      </c>
      <c r="P14" s="3" t="s">
        <v>2757</v>
      </c>
      <c r="Q14" s="7" t="s">
        <v>2758</v>
      </c>
      <c r="W14" s="74">
        <v>1</v>
      </c>
      <c r="X14" s="76" t="s">
        <v>316</v>
      </c>
      <c r="Y14" s="69" t="s">
        <v>2759</v>
      </c>
      <c r="Z14" s="69" t="s">
        <v>2760</v>
      </c>
      <c r="AA14" s="78" t="s">
        <v>167</v>
      </c>
    </row>
    <row r="15" spans="1:27" ht="30.45" customHeight="1">
      <c r="A15" s="136"/>
      <c r="B15" s="41" t="s">
        <v>319</v>
      </c>
      <c r="C15" s="41"/>
      <c r="D15" s="41"/>
      <c r="E15" s="41"/>
      <c r="F15" s="3" t="s">
        <v>1110</v>
      </c>
      <c r="G15" s="3" t="s">
        <v>2740</v>
      </c>
      <c r="H15" s="3" t="s">
        <v>932</v>
      </c>
      <c r="I15" s="3" t="s">
        <v>1110</v>
      </c>
      <c r="J15" s="3" t="s">
        <v>1110</v>
      </c>
      <c r="K15" s="3" t="s">
        <v>2761</v>
      </c>
      <c r="L15" s="3" t="s">
        <v>2637</v>
      </c>
      <c r="M15" s="3" t="s">
        <v>2762</v>
      </c>
      <c r="N15" s="3" t="s">
        <v>2762</v>
      </c>
      <c r="O15" s="3" t="s">
        <v>327</v>
      </c>
      <c r="P15" s="3" t="s">
        <v>2763</v>
      </c>
      <c r="Q15" s="7" t="s">
        <v>2764</v>
      </c>
      <c r="W15" s="74">
        <v>2</v>
      </c>
      <c r="X15" s="76" t="s">
        <v>316</v>
      </c>
      <c r="Y15" s="69" t="s">
        <v>2765</v>
      </c>
      <c r="Z15" s="69" t="s">
        <v>2766</v>
      </c>
      <c r="AA15" s="78" t="s">
        <v>2706</v>
      </c>
    </row>
    <row r="16" spans="1:27" ht="30.45" customHeight="1">
      <c r="A16" s="136"/>
      <c r="B16" s="41" t="s">
        <v>335</v>
      </c>
      <c r="C16" s="41"/>
      <c r="D16" s="41"/>
      <c r="E16" s="41"/>
      <c r="F16" s="3" t="s">
        <v>2233</v>
      </c>
      <c r="G16" s="3" t="s">
        <v>1643</v>
      </c>
      <c r="H16" s="3" t="s">
        <v>304</v>
      </c>
      <c r="I16" s="3" t="s">
        <v>524</v>
      </c>
      <c r="J16" s="3" t="s">
        <v>524</v>
      </c>
      <c r="K16" s="3" t="s">
        <v>2767</v>
      </c>
      <c r="L16" s="3" t="s">
        <v>292</v>
      </c>
      <c r="M16" s="3" t="s">
        <v>2768</v>
      </c>
      <c r="N16" s="3" t="s">
        <v>485</v>
      </c>
      <c r="O16" s="3" t="s">
        <v>336</v>
      </c>
      <c r="P16" s="3" t="s">
        <v>2769</v>
      </c>
      <c r="Q16" s="7" t="s">
        <v>2770</v>
      </c>
      <c r="W16" s="74">
        <v>3</v>
      </c>
      <c r="X16" s="76" t="s">
        <v>316</v>
      </c>
      <c r="Y16" s="69" t="s">
        <v>2517</v>
      </c>
      <c r="Z16" s="69" t="s">
        <v>2771</v>
      </c>
      <c r="AA16" s="78" t="s">
        <v>2707</v>
      </c>
    </row>
    <row r="17" spans="1:27" ht="30.45" customHeight="1">
      <c r="A17" s="136"/>
      <c r="B17" s="41" t="s">
        <v>346</v>
      </c>
      <c r="C17" s="41"/>
      <c r="D17" s="41"/>
      <c r="E17" s="41"/>
      <c r="F17" s="3" t="s">
        <v>986</v>
      </c>
      <c r="G17" s="3" t="s">
        <v>1669</v>
      </c>
      <c r="H17" s="3" t="s">
        <v>2772</v>
      </c>
      <c r="I17" s="3" t="s">
        <v>292</v>
      </c>
      <c r="J17" s="3" t="s">
        <v>292</v>
      </c>
      <c r="K17" s="3" t="s">
        <v>292</v>
      </c>
      <c r="L17" s="3" t="s">
        <v>292</v>
      </c>
      <c r="M17" s="3" t="s">
        <v>485</v>
      </c>
      <c r="N17" s="3" t="s">
        <v>2773</v>
      </c>
      <c r="O17" s="3" t="s">
        <v>292</v>
      </c>
      <c r="P17" s="3" t="s">
        <v>2774</v>
      </c>
      <c r="Q17" s="7" t="s">
        <v>2775</v>
      </c>
      <c r="W17" s="74">
        <v>4</v>
      </c>
      <c r="X17" s="76" t="s">
        <v>332</v>
      </c>
      <c r="Y17" s="69" t="s">
        <v>2776</v>
      </c>
      <c r="Z17" s="69" t="s">
        <v>2777</v>
      </c>
      <c r="AA17" s="78" t="s">
        <v>2708</v>
      </c>
    </row>
    <row r="18" spans="1:27" ht="30.45" customHeight="1">
      <c r="A18" s="136"/>
      <c r="B18" s="41" t="s">
        <v>302</v>
      </c>
      <c r="C18" s="41"/>
      <c r="D18" s="41"/>
      <c r="E18" s="41"/>
      <c r="F18" s="3" t="s">
        <v>2760</v>
      </c>
      <c r="G18" s="3" t="s">
        <v>2766</v>
      </c>
      <c r="H18" s="3" t="s">
        <v>2771</v>
      </c>
      <c r="I18" s="3" t="s">
        <v>2777</v>
      </c>
      <c r="J18" s="3" t="s">
        <v>2778</v>
      </c>
      <c r="K18" s="3" t="s">
        <v>2779</v>
      </c>
      <c r="L18" s="3" t="s">
        <v>2780</v>
      </c>
      <c r="M18" s="3" t="s">
        <v>2781</v>
      </c>
      <c r="N18" s="3" t="s">
        <v>2782</v>
      </c>
      <c r="O18" s="3" t="s">
        <v>2783</v>
      </c>
      <c r="P18" s="3" t="s">
        <v>2784</v>
      </c>
      <c r="Q18" s="7" t="s">
        <v>2785</v>
      </c>
      <c r="W18" s="74">
        <v>5</v>
      </c>
      <c r="X18" s="76" t="s">
        <v>357</v>
      </c>
      <c r="Y18" s="69" t="s">
        <v>2786</v>
      </c>
      <c r="Z18" s="69" t="s">
        <v>2778</v>
      </c>
      <c r="AA18" s="78" t="s">
        <v>2709</v>
      </c>
    </row>
    <row r="19" spans="1:27" ht="30.45" customHeight="1">
      <c r="A19" s="136"/>
      <c r="B19" s="41" t="s">
        <v>369</v>
      </c>
      <c r="C19" s="41"/>
      <c r="D19" s="41"/>
      <c r="E19" s="41"/>
      <c r="F19" s="3"/>
      <c r="G19" s="3"/>
      <c r="H19" s="3"/>
      <c r="I19" s="3" t="s">
        <v>2787</v>
      </c>
      <c r="J19" s="3" t="s">
        <v>2788</v>
      </c>
      <c r="K19" s="3"/>
      <c r="L19" s="3" t="s">
        <v>2789</v>
      </c>
      <c r="M19" s="3"/>
      <c r="N19" s="3"/>
      <c r="O19" s="3" t="s">
        <v>2790</v>
      </c>
      <c r="P19" s="3" t="s">
        <v>2791</v>
      </c>
      <c r="Q19" s="7"/>
      <c r="W19" s="74">
        <v>6</v>
      </c>
      <c r="X19" s="76" t="s">
        <v>316</v>
      </c>
      <c r="Y19" s="69" t="s">
        <v>2792</v>
      </c>
      <c r="Z19" s="69" t="s">
        <v>2779</v>
      </c>
      <c r="AA19" s="78" t="s">
        <v>2710</v>
      </c>
    </row>
    <row r="20" spans="1:27" ht="30.45" customHeight="1">
      <c r="A20" s="136"/>
      <c r="B20" s="41" t="s">
        <v>378</v>
      </c>
      <c r="C20" s="41"/>
      <c r="D20" s="41"/>
      <c r="E20" s="41"/>
      <c r="F20" s="3" t="s">
        <v>1176</v>
      </c>
      <c r="G20" s="3" t="s">
        <v>2793</v>
      </c>
      <c r="H20" s="3" t="s">
        <v>2794</v>
      </c>
      <c r="I20" s="3" t="s">
        <v>2795</v>
      </c>
      <c r="J20" s="3" t="s">
        <v>2796</v>
      </c>
      <c r="K20" s="3" t="s">
        <v>2797</v>
      </c>
      <c r="L20" s="3" t="s">
        <v>1487</v>
      </c>
      <c r="M20" s="3" t="s">
        <v>2798</v>
      </c>
      <c r="N20" s="3" t="s">
        <v>2799</v>
      </c>
      <c r="O20" s="3" t="s">
        <v>2800</v>
      </c>
      <c r="P20" s="3" t="s">
        <v>2801</v>
      </c>
      <c r="Q20" s="7" t="s">
        <v>2533</v>
      </c>
      <c r="W20" s="74">
        <v>7</v>
      </c>
      <c r="X20" s="76" t="s">
        <v>332</v>
      </c>
      <c r="Y20" s="69" t="s">
        <v>2802</v>
      </c>
      <c r="Z20" s="69" t="s">
        <v>2780</v>
      </c>
      <c r="AA20" s="78" t="s">
        <v>2711</v>
      </c>
    </row>
    <row r="21" spans="1:27" ht="30.45" customHeight="1">
      <c r="A21" s="136" t="s">
        <v>392</v>
      </c>
      <c r="B21" s="41" t="s">
        <v>393</v>
      </c>
      <c r="C21" s="41"/>
      <c r="D21" s="41"/>
      <c r="E21" s="41"/>
      <c r="F21" s="48" t="s">
        <v>184</v>
      </c>
      <c r="G21" s="48" t="s">
        <v>184</v>
      </c>
      <c r="H21" s="48" t="s">
        <v>184</v>
      </c>
      <c r="I21" s="48" t="s">
        <v>185</v>
      </c>
      <c r="J21" s="48" t="s">
        <v>186</v>
      </c>
      <c r="K21" s="48" t="s">
        <v>184</v>
      </c>
      <c r="L21" s="48" t="s">
        <v>185</v>
      </c>
      <c r="M21" s="48" t="s">
        <v>184</v>
      </c>
      <c r="N21" s="48" t="s">
        <v>184</v>
      </c>
      <c r="O21" s="48" t="s">
        <v>185</v>
      </c>
      <c r="P21" s="48" t="s">
        <v>185</v>
      </c>
      <c r="Q21" s="49" t="s">
        <v>185</v>
      </c>
      <c r="W21" s="74">
        <v>8</v>
      </c>
      <c r="X21" s="76" t="s">
        <v>316</v>
      </c>
      <c r="Y21" s="69" t="s">
        <v>2803</v>
      </c>
      <c r="Z21" s="69" t="s">
        <v>2781</v>
      </c>
      <c r="AA21" s="78" t="s">
        <v>2712</v>
      </c>
    </row>
    <row r="22" spans="1:27" ht="19.2" customHeight="1">
      <c r="A22" s="136"/>
      <c r="B22" s="83" t="s">
        <v>395</v>
      </c>
      <c r="C22" s="84"/>
      <c r="D22" s="84"/>
      <c r="E22" s="85"/>
      <c r="F22" s="86"/>
      <c r="G22" s="87"/>
      <c r="H22" s="87"/>
      <c r="I22" s="87"/>
      <c r="J22" s="87"/>
      <c r="K22" s="87"/>
      <c r="L22" s="87"/>
      <c r="M22" s="87"/>
      <c r="N22" s="87"/>
      <c r="O22" s="87"/>
      <c r="P22" s="87"/>
      <c r="Q22" s="88"/>
      <c r="W22" s="74">
        <v>9</v>
      </c>
      <c r="X22" s="76" t="s">
        <v>316</v>
      </c>
      <c r="Y22" s="69" t="s">
        <v>2804</v>
      </c>
      <c r="Z22" s="69" t="s">
        <v>2782</v>
      </c>
      <c r="AA22" s="78" t="s">
        <v>2713</v>
      </c>
    </row>
    <row r="23" spans="1:27" ht="30.45" customHeight="1">
      <c r="A23" s="136"/>
      <c r="B23" s="41" t="s">
        <v>397</v>
      </c>
      <c r="C23" s="41"/>
      <c r="D23" s="41"/>
      <c r="E23" s="41"/>
      <c r="F23" s="50"/>
      <c r="G23" s="50"/>
      <c r="H23" s="50"/>
      <c r="I23" s="50"/>
      <c r="J23" s="50"/>
      <c r="K23" s="50"/>
      <c r="L23" s="50"/>
      <c r="M23" s="50"/>
      <c r="N23" s="50"/>
      <c r="O23" s="50"/>
      <c r="P23" s="50"/>
      <c r="Q23" s="51"/>
      <c r="W23" s="74">
        <v>10</v>
      </c>
      <c r="X23" s="76" t="s">
        <v>332</v>
      </c>
      <c r="Y23" s="69" t="s">
        <v>2805</v>
      </c>
      <c r="Z23" s="69" t="s">
        <v>2783</v>
      </c>
      <c r="AA23" s="78" t="s">
        <v>2714</v>
      </c>
    </row>
    <row r="24" spans="1:27" ht="30.45" customHeight="1">
      <c r="A24" s="137"/>
      <c r="B24" s="45" t="s">
        <v>399</v>
      </c>
      <c r="C24" s="45"/>
      <c r="D24" s="45"/>
      <c r="E24" s="45"/>
      <c r="F24" s="46"/>
      <c r="G24" s="46"/>
      <c r="H24" s="46"/>
      <c r="I24" s="46"/>
      <c r="J24" s="46"/>
      <c r="K24" s="46"/>
      <c r="L24" s="46"/>
      <c r="M24" s="46"/>
      <c r="N24" s="46"/>
      <c r="O24" s="46"/>
      <c r="P24" s="46"/>
      <c r="Q24" s="47"/>
      <c r="W24" s="74">
        <v>11</v>
      </c>
      <c r="X24" s="76" t="s">
        <v>332</v>
      </c>
      <c r="Y24" s="69" t="s">
        <v>2806</v>
      </c>
      <c r="Z24" s="69" t="s">
        <v>2784</v>
      </c>
      <c r="AA24" s="78" t="s">
        <v>2715</v>
      </c>
    </row>
    <row r="25" spans="1:27" ht="30.45" customHeight="1">
      <c r="W25" s="75">
        <v>12</v>
      </c>
      <c r="X25" s="77" t="s">
        <v>332</v>
      </c>
      <c r="Y25" s="72" t="s">
        <v>2807</v>
      </c>
      <c r="Z25" s="72" t="s">
        <v>2785</v>
      </c>
      <c r="AA25" s="79" t="s">
        <v>2716</v>
      </c>
    </row>
  </sheetData>
  <mergeCells count="34">
    <mergeCell ref="A21:A24"/>
    <mergeCell ref="W2:AA2"/>
    <mergeCell ref="W9:AA9"/>
    <mergeCell ref="W12:AA12"/>
    <mergeCell ref="K7:L7"/>
    <mergeCell ref="M7:N7"/>
    <mergeCell ref="O7:Q7"/>
    <mergeCell ref="A10:A13"/>
    <mergeCell ref="A14:A20"/>
    <mergeCell ref="A7:B7"/>
    <mergeCell ref="C7:D7"/>
    <mergeCell ref="E7:F7"/>
    <mergeCell ref="G7:H7"/>
    <mergeCell ref="I7:J7"/>
    <mergeCell ref="A4:B4"/>
    <mergeCell ref="C4:Q4"/>
    <mergeCell ref="A5:B5"/>
    <mergeCell ref="C5:Q5"/>
    <mergeCell ref="A6:B6"/>
    <mergeCell ref="C6:D6"/>
    <mergeCell ref="E6:F6"/>
    <mergeCell ref="G6:H6"/>
    <mergeCell ref="I6:J6"/>
    <mergeCell ref="K6:L6"/>
    <mergeCell ref="M6:N6"/>
    <mergeCell ref="O6:Q6"/>
    <mergeCell ref="A2:B2"/>
    <mergeCell ref="C2:D2"/>
    <mergeCell ref="F2:G2"/>
    <mergeCell ref="H2:Q2"/>
    <mergeCell ref="A3:B3"/>
    <mergeCell ref="C3:D3"/>
    <mergeCell ref="F3:G3"/>
    <mergeCell ref="H3:Q3"/>
  </mergeCells>
  <conditionalFormatting sqref="F22:Q22">
    <cfRule type="expression" dxfId="2" priority="1">
      <formula>F22="Passed"</formula>
    </cfRule>
    <cfRule type="expression" dxfId="1" priority="2">
      <formula>F22="Failed"</formula>
    </cfRule>
    <cfRule type="expression" dxfId="0" priority="3">
      <formula>F22="Blocked"</formula>
    </cfRule>
  </conditionalFormatting>
  <dataValidations count="1">
    <dataValidation type="list" sqref="F22:Q22" xr:uid="{00000000-0002-0000-1400-000000000000}">
      <formula1>"Passed,Failed,Blocked"</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B35"/>
  <sheetViews>
    <sheetView workbookViewId="0"/>
  </sheetViews>
  <sheetFormatPr defaultRowHeight="13.8"/>
  <cols>
    <col min="1" max="1" width="15" customWidth="1"/>
    <col min="2" max="5" width="16" customWidth="1"/>
    <col min="6" max="15" width="18" customWidth="1"/>
    <col min="17" max="17" width="14" customWidth="1"/>
    <col min="18" max="22" width="18" customWidth="1"/>
  </cols>
  <sheetData>
    <row r="1" spans="1:28">
      <c r="A1" s="1"/>
      <c r="B1" s="1"/>
      <c r="C1" s="1"/>
      <c r="D1" s="1"/>
      <c r="E1" s="1"/>
      <c r="F1" s="1"/>
      <c r="G1" s="1"/>
      <c r="H1" s="1"/>
      <c r="I1" s="1"/>
      <c r="J1" s="1"/>
      <c r="K1" s="1"/>
      <c r="L1" s="1"/>
      <c r="M1" s="1"/>
      <c r="N1" s="1"/>
      <c r="O1" s="1"/>
      <c r="P1" s="1"/>
      <c r="Q1" s="1"/>
      <c r="R1" s="1"/>
      <c r="S1" s="1"/>
      <c r="T1" s="1"/>
      <c r="U1" s="1"/>
      <c r="V1" s="1"/>
      <c r="W1" s="1"/>
      <c r="X1" s="1"/>
      <c r="Y1" s="1"/>
      <c r="Z1" s="1"/>
      <c r="AA1" s="1"/>
      <c r="AB1" s="1"/>
    </row>
    <row r="2" spans="1:28" ht="15.6">
      <c r="A2" s="142" t="s">
        <v>199</v>
      </c>
      <c r="B2" s="124"/>
      <c r="C2" s="124" t="s">
        <v>2808</v>
      </c>
      <c r="D2" s="124"/>
      <c r="E2" s="18"/>
      <c r="F2" s="124" t="s">
        <v>63</v>
      </c>
      <c r="G2" s="124"/>
      <c r="H2" s="124" t="s">
        <v>2809</v>
      </c>
      <c r="I2" s="124"/>
      <c r="J2" s="124"/>
      <c r="K2" s="124"/>
      <c r="L2" s="124"/>
      <c r="M2" s="124"/>
      <c r="N2" s="124"/>
      <c r="O2" s="125"/>
      <c r="P2" s="1"/>
      <c r="Q2" s="152" t="s">
        <v>2810</v>
      </c>
      <c r="R2" s="152"/>
      <c r="S2" s="152"/>
      <c r="T2" s="152"/>
      <c r="U2" s="152"/>
      <c r="V2" s="152"/>
      <c r="W2" s="152"/>
      <c r="X2" s="152"/>
      <c r="Y2" s="152"/>
      <c r="Z2" s="152"/>
      <c r="AA2" s="152"/>
      <c r="AB2" s="152"/>
    </row>
    <row r="3" spans="1:28">
      <c r="A3" s="143" t="s">
        <v>201</v>
      </c>
      <c r="B3" s="128"/>
      <c r="C3" s="128" t="s">
        <v>2811</v>
      </c>
      <c r="D3" s="128"/>
      <c r="E3" s="1"/>
      <c r="F3" s="128" t="s">
        <v>202</v>
      </c>
      <c r="G3" s="128"/>
      <c r="H3" s="128"/>
      <c r="I3" s="128"/>
      <c r="J3" s="128"/>
      <c r="K3" s="128"/>
      <c r="L3" s="128"/>
      <c r="M3" s="128"/>
      <c r="N3" s="128"/>
      <c r="O3" s="129"/>
      <c r="P3" s="1"/>
      <c r="Q3" s="1"/>
      <c r="R3" s="1"/>
      <c r="S3" s="1"/>
      <c r="T3" s="1"/>
      <c r="U3" s="1"/>
      <c r="V3" s="1"/>
      <c r="W3" s="1"/>
      <c r="X3" s="1"/>
      <c r="Y3" s="1"/>
      <c r="Z3" s="1"/>
      <c r="AA3" s="1"/>
      <c r="AB3" s="1"/>
    </row>
    <row r="4" spans="1:28">
      <c r="A4" s="143" t="s">
        <v>2812</v>
      </c>
      <c r="B4" s="128"/>
      <c r="C4" s="128">
        <v>100</v>
      </c>
      <c r="D4" s="128"/>
      <c r="E4" s="128"/>
      <c r="F4" s="128"/>
      <c r="G4" s="128"/>
      <c r="H4" s="128"/>
      <c r="I4" s="128"/>
      <c r="J4" s="128"/>
      <c r="K4" s="128"/>
      <c r="L4" s="128"/>
      <c r="M4" s="128"/>
      <c r="N4" s="128"/>
      <c r="O4" s="129"/>
      <c r="P4" s="1"/>
      <c r="Q4" s="99" t="s">
        <v>2813</v>
      </c>
      <c r="R4" s="99"/>
      <c r="S4" s="99"/>
      <c r="T4" s="99"/>
      <c r="U4" s="99"/>
      <c r="V4" s="99"/>
      <c r="W4" s="99"/>
      <c r="X4" s="99"/>
      <c r="Y4" s="99"/>
      <c r="Z4" s="99"/>
      <c r="AA4" s="99"/>
      <c r="AB4" s="99"/>
    </row>
    <row r="5" spans="1:28">
      <c r="A5" s="143" t="s">
        <v>215</v>
      </c>
      <c r="B5" s="128"/>
      <c r="C5" s="128" t="s">
        <v>2814</v>
      </c>
      <c r="D5" s="128"/>
      <c r="E5" s="128"/>
      <c r="F5" s="128"/>
      <c r="G5" s="128"/>
      <c r="H5" s="128"/>
      <c r="I5" s="128"/>
      <c r="J5" s="128"/>
      <c r="K5" s="128"/>
      <c r="L5" s="128"/>
      <c r="M5" s="128"/>
      <c r="N5" s="128"/>
      <c r="O5" s="129"/>
      <c r="P5" s="1"/>
      <c r="Q5" s="99"/>
      <c r="R5" s="99"/>
      <c r="S5" s="99"/>
      <c r="T5" s="99"/>
      <c r="U5" s="99"/>
      <c r="V5" s="99"/>
      <c r="W5" s="99"/>
      <c r="X5" s="99"/>
      <c r="Y5" s="99"/>
      <c r="Z5" s="99"/>
      <c r="AA5" s="99"/>
      <c r="AB5" s="99"/>
    </row>
    <row r="6" spans="1:28">
      <c r="A6" s="144" t="s">
        <v>173</v>
      </c>
      <c r="B6" s="145"/>
      <c r="C6" s="145" t="s">
        <v>174</v>
      </c>
      <c r="D6" s="145"/>
      <c r="E6" s="145" t="s">
        <v>180</v>
      </c>
      <c r="F6" s="145"/>
      <c r="G6" s="145" t="s">
        <v>2815</v>
      </c>
      <c r="H6" s="145"/>
      <c r="I6" s="145"/>
      <c r="J6" s="145" t="s">
        <v>187</v>
      </c>
      <c r="K6" s="145"/>
      <c r="L6" s="145"/>
      <c r="M6" s="145"/>
      <c r="N6" s="145"/>
      <c r="O6" s="146"/>
      <c r="P6" s="1"/>
      <c r="Q6" s="99"/>
      <c r="R6" s="99"/>
      <c r="S6" s="99"/>
      <c r="T6" s="99"/>
      <c r="U6" s="99"/>
      <c r="V6" s="99"/>
      <c r="W6" s="99"/>
      <c r="X6" s="99"/>
      <c r="Y6" s="99"/>
      <c r="Z6" s="99"/>
      <c r="AA6" s="99"/>
      <c r="AB6" s="99"/>
    </row>
    <row r="7" spans="1:28">
      <c r="A7" s="147">
        <v>0</v>
      </c>
      <c r="B7" s="148"/>
      <c r="C7" s="148">
        <v>0</v>
      </c>
      <c r="D7" s="148"/>
      <c r="E7" s="148">
        <v>10</v>
      </c>
      <c r="F7" s="148"/>
      <c r="G7" s="148" t="s">
        <v>2816</v>
      </c>
      <c r="H7" s="148"/>
      <c r="I7" s="148"/>
      <c r="J7" s="148">
        <v>10</v>
      </c>
      <c r="K7" s="148"/>
      <c r="L7" s="148"/>
      <c r="M7" s="148"/>
      <c r="N7" s="148"/>
      <c r="O7" s="149"/>
      <c r="P7" s="1"/>
      <c r="Q7" s="99"/>
      <c r="R7" s="99"/>
      <c r="S7" s="99"/>
      <c r="T7" s="99"/>
      <c r="U7" s="99"/>
      <c r="V7" s="99"/>
      <c r="W7" s="99"/>
      <c r="X7" s="99"/>
      <c r="Y7" s="99"/>
      <c r="Z7" s="99"/>
      <c r="AA7" s="99"/>
      <c r="AB7" s="99"/>
    </row>
    <row r="8" spans="1:28">
      <c r="A8" s="1"/>
      <c r="B8" s="1"/>
      <c r="C8" s="1"/>
      <c r="D8" s="1"/>
      <c r="E8" s="1"/>
      <c r="F8" s="1"/>
      <c r="G8" s="1"/>
      <c r="H8" s="1"/>
      <c r="I8" s="1"/>
      <c r="J8" s="1"/>
      <c r="K8" s="1"/>
      <c r="L8" s="1"/>
      <c r="M8" s="1"/>
      <c r="N8" s="1"/>
      <c r="O8" s="1"/>
      <c r="P8" s="1"/>
      <c r="Q8" s="99"/>
      <c r="R8" s="99"/>
      <c r="S8" s="99"/>
      <c r="T8" s="99"/>
      <c r="U8" s="99"/>
      <c r="V8" s="99"/>
      <c r="W8" s="99"/>
      <c r="X8" s="99"/>
      <c r="Y8" s="99"/>
      <c r="Z8" s="99"/>
      <c r="AA8" s="99"/>
      <c r="AB8" s="99"/>
    </row>
    <row r="9" spans="1:28">
      <c r="A9" s="55"/>
      <c r="B9" s="56"/>
      <c r="C9" s="56"/>
      <c r="D9" s="56"/>
      <c r="E9" s="56"/>
      <c r="F9" s="56" t="s">
        <v>2817</v>
      </c>
      <c r="G9" s="56" t="s">
        <v>2818</v>
      </c>
      <c r="H9" s="56" t="s">
        <v>2819</v>
      </c>
      <c r="I9" s="56" t="s">
        <v>2820</v>
      </c>
      <c r="J9" s="56" t="s">
        <v>2821</v>
      </c>
      <c r="K9" s="56" t="s">
        <v>2822</v>
      </c>
      <c r="L9" s="56" t="s">
        <v>2823</v>
      </c>
      <c r="M9" s="56" t="s">
        <v>2824</v>
      </c>
      <c r="N9" s="56" t="s">
        <v>2825</v>
      </c>
      <c r="O9" s="57" t="s">
        <v>2826</v>
      </c>
      <c r="P9" s="1"/>
      <c r="Q9" s="1"/>
      <c r="R9" s="1"/>
      <c r="S9" s="1"/>
      <c r="T9" s="1"/>
      <c r="U9" s="1"/>
      <c r="V9" s="1"/>
      <c r="W9" s="1"/>
      <c r="X9" s="1"/>
      <c r="Y9" s="1"/>
      <c r="Z9" s="1"/>
      <c r="AA9" s="1"/>
      <c r="AB9" s="1"/>
    </row>
    <row r="10" spans="1:28">
      <c r="A10" s="150" t="s">
        <v>248</v>
      </c>
      <c r="B10" s="31" t="s">
        <v>249</v>
      </c>
      <c r="C10" s="31"/>
      <c r="D10" s="31"/>
      <c r="E10" s="31"/>
      <c r="F10" s="2" t="s">
        <v>2827</v>
      </c>
      <c r="G10" s="2" t="s">
        <v>2828</v>
      </c>
      <c r="H10" s="2" t="s">
        <v>2829</v>
      </c>
      <c r="I10" s="2" t="s">
        <v>2830</v>
      </c>
      <c r="J10" s="2" t="s">
        <v>2831</v>
      </c>
      <c r="K10" s="2" t="s">
        <v>2832</v>
      </c>
      <c r="L10" s="2" t="s">
        <v>2833</v>
      </c>
      <c r="M10" s="2" t="s">
        <v>2834</v>
      </c>
      <c r="N10" s="2" t="s">
        <v>2835</v>
      </c>
      <c r="O10" s="35" t="s">
        <v>2836</v>
      </c>
      <c r="P10" s="1"/>
      <c r="Q10" s="59" t="s">
        <v>248</v>
      </c>
      <c r="R10" s="60" t="s">
        <v>2837</v>
      </c>
      <c r="S10" s="60" t="s">
        <v>2838</v>
      </c>
      <c r="T10" s="60" t="s">
        <v>2839</v>
      </c>
      <c r="U10" s="60" t="s">
        <v>2840</v>
      </c>
      <c r="V10" s="61" t="s">
        <v>2841</v>
      </c>
      <c r="W10" s="1"/>
      <c r="X10" s="1"/>
      <c r="Y10" s="1"/>
      <c r="Z10" s="1"/>
      <c r="AA10" s="1"/>
      <c r="AB10" s="1"/>
    </row>
    <row r="11" spans="1:28">
      <c r="A11" s="150"/>
      <c r="B11" s="31" t="s">
        <v>261</v>
      </c>
      <c r="C11" s="31"/>
      <c r="D11" s="31"/>
      <c r="E11" s="31"/>
      <c r="F11" s="2" t="s">
        <v>2842</v>
      </c>
      <c r="G11" s="2" t="s">
        <v>2842</v>
      </c>
      <c r="H11" s="2" t="s">
        <v>2842</v>
      </c>
      <c r="I11" s="2" t="s">
        <v>2842</v>
      </c>
      <c r="J11" s="2" t="s">
        <v>2842</v>
      </c>
      <c r="K11" s="2" t="s">
        <v>2842</v>
      </c>
      <c r="L11" s="2" t="s">
        <v>2842</v>
      </c>
      <c r="M11" s="2" t="s">
        <v>2842</v>
      </c>
      <c r="N11" s="2" t="s">
        <v>2842</v>
      </c>
      <c r="O11" s="35" t="s">
        <v>2842</v>
      </c>
      <c r="P11" s="1"/>
      <c r="Q11" s="29" t="s">
        <v>2843</v>
      </c>
      <c r="R11" s="1" t="s">
        <v>2844</v>
      </c>
      <c r="S11" s="1" t="s">
        <v>2845</v>
      </c>
      <c r="T11" s="1">
        <v>0</v>
      </c>
      <c r="U11" s="1">
        <v>-1</v>
      </c>
      <c r="V11" s="13" t="s">
        <v>2846</v>
      </c>
      <c r="W11" s="1"/>
      <c r="X11" s="1"/>
      <c r="Y11" s="1"/>
      <c r="Z11" s="1"/>
      <c r="AA11" s="1"/>
      <c r="AB11" s="1"/>
    </row>
    <row r="12" spans="1:28">
      <c r="A12" s="150"/>
      <c r="B12" s="31" t="s">
        <v>274</v>
      </c>
      <c r="C12" s="31"/>
      <c r="D12" s="31"/>
      <c r="E12" s="31"/>
      <c r="F12" s="2" t="s">
        <v>2847</v>
      </c>
      <c r="G12" s="2" t="s">
        <v>2848</v>
      </c>
      <c r="H12" s="2" t="s">
        <v>2849</v>
      </c>
      <c r="I12" s="2" t="s">
        <v>2850</v>
      </c>
      <c r="J12" s="2" t="s">
        <v>2851</v>
      </c>
      <c r="K12" s="2" t="s">
        <v>2852</v>
      </c>
      <c r="L12" s="2" t="s">
        <v>2853</v>
      </c>
      <c r="M12" s="2" t="s">
        <v>2854</v>
      </c>
      <c r="N12" s="2" t="s">
        <v>2855</v>
      </c>
      <c r="O12" s="35" t="s">
        <v>2856</v>
      </c>
      <c r="P12" s="1"/>
      <c r="Q12" s="29" t="s">
        <v>2843</v>
      </c>
      <c r="R12" s="1" t="s">
        <v>2844</v>
      </c>
      <c r="S12" s="1" t="s">
        <v>2857</v>
      </c>
      <c r="T12" s="1">
        <v>1000</v>
      </c>
      <c r="U12" s="1">
        <v>1001</v>
      </c>
      <c r="V12" s="13" t="s">
        <v>2858</v>
      </c>
      <c r="W12" s="1"/>
      <c r="X12" s="1"/>
      <c r="Y12" s="1"/>
      <c r="Z12" s="1"/>
      <c r="AA12" s="1"/>
      <c r="AB12" s="1"/>
    </row>
    <row r="13" spans="1:28">
      <c r="A13" s="150"/>
      <c r="B13" s="31" t="s">
        <v>288</v>
      </c>
      <c r="C13" s="31"/>
      <c r="D13" s="31"/>
      <c r="E13" s="31"/>
      <c r="F13" s="2" t="s">
        <v>2837</v>
      </c>
      <c r="G13" s="2" t="s">
        <v>2837</v>
      </c>
      <c r="H13" s="2" t="s">
        <v>2838</v>
      </c>
      <c r="I13" s="2" t="s">
        <v>2838</v>
      </c>
      <c r="J13" s="2" t="s">
        <v>2839</v>
      </c>
      <c r="K13" s="2" t="s">
        <v>2839</v>
      </c>
      <c r="L13" s="2" t="s">
        <v>2839</v>
      </c>
      <c r="M13" s="2" t="s">
        <v>2839</v>
      </c>
      <c r="N13" s="2" t="s">
        <v>2840</v>
      </c>
      <c r="O13" s="35" t="s">
        <v>2840</v>
      </c>
      <c r="P13" s="1"/>
      <c r="Q13" s="29" t="s">
        <v>2843</v>
      </c>
      <c r="R13" s="1"/>
      <c r="S13" s="1"/>
      <c r="T13" s="1">
        <v>1</v>
      </c>
      <c r="U13" s="1"/>
      <c r="V13" s="13" t="s">
        <v>2859</v>
      </c>
      <c r="W13" s="1"/>
      <c r="X13" s="1"/>
      <c r="Y13" s="1"/>
      <c r="Z13" s="1"/>
      <c r="AA13" s="1"/>
      <c r="AB13" s="1"/>
    </row>
    <row r="14" spans="1:28">
      <c r="A14" s="150" t="s">
        <v>304</v>
      </c>
      <c r="B14" s="31" t="s">
        <v>305</v>
      </c>
      <c r="C14" s="31"/>
      <c r="D14" s="31"/>
      <c r="E14" s="31"/>
      <c r="F14" s="2" t="s">
        <v>2860</v>
      </c>
      <c r="G14" s="2" t="s">
        <v>2861</v>
      </c>
      <c r="H14" s="2" t="s">
        <v>2862</v>
      </c>
      <c r="I14" s="2" t="s">
        <v>2863</v>
      </c>
      <c r="J14" s="2" t="s">
        <v>2864</v>
      </c>
      <c r="K14" s="2" t="s">
        <v>2865</v>
      </c>
      <c r="L14" s="2" t="s">
        <v>2866</v>
      </c>
      <c r="M14" s="2" t="s">
        <v>2867</v>
      </c>
      <c r="N14" s="2" t="s">
        <v>2868</v>
      </c>
      <c r="O14" s="35" t="s">
        <v>2869</v>
      </c>
      <c r="P14" s="1"/>
      <c r="Q14" s="30" t="s">
        <v>2843</v>
      </c>
      <c r="R14" s="23"/>
      <c r="S14" s="23"/>
      <c r="T14" s="23">
        <v>2</v>
      </c>
      <c r="U14" s="23"/>
      <c r="V14" s="15" t="s">
        <v>2870</v>
      </c>
      <c r="W14" s="1"/>
      <c r="X14" s="1"/>
      <c r="Y14" s="1"/>
      <c r="Z14" s="1"/>
      <c r="AA14" s="1"/>
      <c r="AB14" s="1"/>
    </row>
    <row r="15" spans="1:28">
      <c r="A15" s="150"/>
      <c r="B15" s="31" t="s">
        <v>319</v>
      </c>
      <c r="C15" s="31"/>
      <c r="D15" s="31"/>
      <c r="E15" s="31"/>
      <c r="F15" s="2" t="s">
        <v>2871</v>
      </c>
      <c r="G15" s="2" t="s">
        <v>2871</v>
      </c>
      <c r="H15" s="2" t="s">
        <v>524</v>
      </c>
      <c r="I15" s="2" t="s">
        <v>524</v>
      </c>
      <c r="J15" s="2" t="s">
        <v>2872</v>
      </c>
      <c r="K15" s="2" t="s">
        <v>2872</v>
      </c>
      <c r="L15" s="2" t="s">
        <v>2872</v>
      </c>
      <c r="M15" s="2" t="s">
        <v>2872</v>
      </c>
      <c r="N15" s="2" t="s">
        <v>524</v>
      </c>
      <c r="O15" s="35" t="s">
        <v>524</v>
      </c>
      <c r="P15" s="1"/>
      <c r="Q15" s="1"/>
      <c r="R15" s="1"/>
      <c r="S15" s="1"/>
      <c r="T15" s="1"/>
      <c r="U15" s="1"/>
      <c r="V15" s="1"/>
      <c r="W15" s="1"/>
      <c r="X15" s="1"/>
      <c r="Y15" s="1"/>
      <c r="Z15" s="1"/>
      <c r="AA15" s="1"/>
      <c r="AB15" s="1"/>
    </row>
    <row r="16" spans="1:28">
      <c r="A16" s="150"/>
      <c r="B16" s="31" t="s">
        <v>335</v>
      </c>
      <c r="C16" s="31"/>
      <c r="D16" s="31"/>
      <c r="E16" s="31"/>
      <c r="F16" s="2" t="s">
        <v>2872</v>
      </c>
      <c r="G16" s="2" t="s">
        <v>2872</v>
      </c>
      <c r="H16" s="2" t="s">
        <v>292</v>
      </c>
      <c r="I16" s="2" t="s">
        <v>292</v>
      </c>
      <c r="J16" s="2" t="s">
        <v>292</v>
      </c>
      <c r="K16" s="2" t="s">
        <v>292</v>
      </c>
      <c r="L16" s="2" t="s">
        <v>292</v>
      </c>
      <c r="M16" s="2" t="s">
        <v>292</v>
      </c>
      <c r="N16" s="2" t="s">
        <v>292</v>
      </c>
      <c r="O16" s="35" t="s">
        <v>292</v>
      </c>
      <c r="P16" s="1"/>
      <c r="Q16" s="1"/>
      <c r="R16" s="1"/>
      <c r="S16" s="1"/>
      <c r="T16" s="1"/>
      <c r="U16" s="1"/>
      <c r="V16" s="1"/>
      <c r="W16" s="1"/>
      <c r="X16" s="1"/>
      <c r="Y16" s="1"/>
      <c r="Z16" s="1"/>
      <c r="AA16" s="1"/>
      <c r="AB16" s="1"/>
    </row>
    <row r="17" spans="1:28">
      <c r="A17" s="150"/>
      <c r="B17" s="31" t="s">
        <v>346</v>
      </c>
      <c r="C17" s="31"/>
      <c r="D17" s="31"/>
      <c r="E17" s="31"/>
      <c r="F17" s="2" t="s">
        <v>292</v>
      </c>
      <c r="G17" s="2" t="s">
        <v>292</v>
      </c>
      <c r="H17" s="2" t="s">
        <v>292</v>
      </c>
      <c r="I17" s="2" t="s">
        <v>292</v>
      </c>
      <c r="J17" s="2" t="s">
        <v>292</v>
      </c>
      <c r="K17" s="2" t="s">
        <v>292</v>
      </c>
      <c r="L17" s="2" t="s">
        <v>292</v>
      </c>
      <c r="M17" s="2" t="s">
        <v>292</v>
      </c>
      <c r="N17" s="2" t="s">
        <v>292</v>
      </c>
      <c r="O17" s="35" t="s">
        <v>292</v>
      </c>
      <c r="P17" s="1"/>
      <c r="Q17" s="1"/>
      <c r="R17" s="1"/>
      <c r="S17" s="1"/>
      <c r="T17" s="1"/>
      <c r="U17" s="1"/>
      <c r="V17" s="1"/>
      <c r="W17" s="1"/>
      <c r="X17" s="1"/>
      <c r="Y17" s="1"/>
      <c r="Z17" s="1"/>
      <c r="AA17" s="1"/>
      <c r="AB17" s="1"/>
    </row>
    <row r="18" spans="1:28">
      <c r="A18" s="150"/>
      <c r="B18" s="31" t="s">
        <v>302</v>
      </c>
      <c r="C18" s="31"/>
      <c r="D18" s="31"/>
      <c r="E18" s="31"/>
      <c r="F18" s="2" t="s">
        <v>2873</v>
      </c>
      <c r="G18" s="2" t="s">
        <v>2874</v>
      </c>
      <c r="H18" s="2" t="s">
        <v>2875</v>
      </c>
      <c r="I18" s="2" t="s">
        <v>2875</v>
      </c>
      <c r="J18" s="2" t="s">
        <v>2874</v>
      </c>
      <c r="K18" s="2" t="s">
        <v>2874</v>
      </c>
      <c r="L18" s="2" t="s">
        <v>2874</v>
      </c>
      <c r="M18" s="2" t="s">
        <v>2873</v>
      </c>
      <c r="N18" s="2" t="s">
        <v>2875</v>
      </c>
      <c r="O18" s="35" t="s">
        <v>2875</v>
      </c>
      <c r="P18" s="1"/>
      <c r="Q18" s="1"/>
      <c r="R18" s="1"/>
      <c r="S18" s="1"/>
      <c r="T18" s="1"/>
      <c r="U18" s="1"/>
      <c r="V18" s="1"/>
      <c r="W18" s="1"/>
      <c r="X18" s="1"/>
      <c r="Y18" s="1"/>
      <c r="Z18" s="1"/>
      <c r="AA18" s="1"/>
      <c r="AB18" s="1"/>
    </row>
    <row r="19" spans="1:28">
      <c r="A19" s="150"/>
      <c r="B19" s="31" t="s">
        <v>369</v>
      </c>
      <c r="C19" s="31"/>
      <c r="D19" s="31"/>
      <c r="E19" s="31"/>
      <c r="F19" s="2"/>
      <c r="G19" s="2"/>
      <c r="H19" s="2" t="s">
        <v>2875</v>
      </c>
      <c r="I19" s="2" t="s">
        <v>2875</v>
      </c>
      <c r="J19" s="2"/>
      <c r="K19" s="2"/>
      <c r="L19" s="2"/>
      <c r="M19" s="2"/>
      <c r="N19" s="2" t="s">
        <v>2875</v>
      </c>
      <c r="O19" s="35" t="s">
        <v>2875</v>
      </c>
      <c r="P19" s="1"/>
      <c r="Q19" s="1"/>
      <c r="R19" s="1"/>
      <c r="S19" s="1"/>
      <c r="T19" s="1"/>
      <c r="U19" s="1"/>
      <c r="V19" s="1"/>
      <c r="W19" s="1"/>
      <c r="X19" s="1"/>
      <c r="Y19" s="1"/>
      <c r="Z19" s="1"/>
      <c r="AA19" s="1"/>
      <c r="AB19" s="1"/>
    </row>
    <row r="20" spans="1:28">
      <c r="A20" s="150"/>
      <c r="B20" s="31" t="s">
        <v>378</v>
      </c>
      <c r="C20" s="31"/>
      <c r="D20" s="31"/>
      <c r="E20" s="31"/>
      <c r="F20" s="2"/>
      <c r="G20" s="2"/>
      <c r="H20" s="2"/>
      <c r="I20" s="2"/>
      <c r="J20" s="2"/>
      <c r="K20" s="2"/>
      <c r="L20" s="2"/>
      <c r="M20" s="2"/>
      <c r="N20" s="2"/>
      <c r="O20" s="35"/>
      <c r="P20" s="1"/>
      <c r="Q20" s="1"/>
      <c r="R20" s="1"/>
      <c r="S20" s="1"/>
      <c r="T20" s="1"/>
      <c r="U20" s="1"/>
      <c r="V20" s="1"/>
      <c r="W20" s="1"/>
      <c r="X20" s="1"/>
      <c r="Y20" s="1"/>
      <c r="Z20" s="1"/>
      <c r="AA20" s="1"/>
      <c r="AB20" s="1"/>
    </row>
    <row r="21" spans="1:28">
      <c r="A21" s="150" t="s">
        <v>392</v>
      </c>
      <c r="B21" s="31" t="s">
        <v>393</v>
      </c>
      <c r="C21" s="31"/>
      <c r="D21" s="31"/>
      <c r="E21" s="31"/>
      <c r="F21" s="1" t="s">
        <v>184</v>
      </c>
      <c r="G21" s="1" t="s">
        <v>184</v>
      </c>
      <c r="H21" s="1" t="s">
        <v>185</v>
      </c>
      <c r="I21" s="1" t="s">
        <v>185</v>
      </c>
      <c r="J21" s="1" t="s">
        <v>186</v>
      </c>
      <c r="K21" s="1" t="s">
        <v>186</v>
      </c>
      <c r="L21" s="1" t="s">
        <v>186</v>
      </c>
      <c r="M21" s="1" t="s">
        <v>186</v>
      </c>
      <c r="N21" s="1" t="s">
        <v>186</v>
      </c>
      <c r="O21" s="13" t="s">
        <v>186</v>
      </c>
      <c r="P21" s="1"/>
      <c r="Q21" s="1"/>
      <c r="R21" s="1"/>
      <c r="S21" s="1"/>
      <c r="T21" s="1"/>
      <c r="U21" s="1"/>
      <c r="V21" s="1"/>
      <c r="W21" s="1"/>
      <c r="X21" s="1"/>
      <c r="Y21" s="1"/>
      <c r="Z21" s="1"/>
      <c r="AA21" s="1"/>
      <c r="AB21" s="1"/>
    </row>
    <row r="22" spans="1:28">
      <c r="A22" s="150"/>
      <c r="B22" s="31" t="s">
        <v>2876</v>
      </c>
      <c r="C22" s="31"/>
      <c r="D22" s="31"/>
      <c r="E22" s="31"/>
      <c r="F22" s="1"/>
      <c r="G22" s="1"/>
      <c r="H22" s="1"/>
      <c r="I22" s="1"/>
      <c r="J22" s="1"/>
      <c r="K22" s="1"/>
      <c r="L22" s="1"/>
      <c r="M22" s="1"/>
      <c r="N22" s="1"/>
      <c r="O22" s="13"/>
      <c r="P22" s="1"/>
      <c r="Q22" s="1"/>
      <c r="R22" s="1"/>
      <c r="S22" s="1"/>
      <c r="T22" s="1"/>
      <c r="U22" s="1"/>
      <c r="V22" s="1"/>
      <c r="W22" s="1"/>
      <c r="X22" s="1"/>
      <c r="Y22" s="1"/>
      <c r="Z22" s="1"/>
      <c r="AA22" s="1"/>
      <c r="AB22" s="1"/>
    </row>
    <row r="23" spans="1:28">
      <c r="A23" s="150"/>
      <c r="B23" s="31" t="s">
        <v>397</v>
      </c>
      <c r="C23" s="31"/>
      <c r="D23" s="31"/>
      <c r="E23" s="31"/>
      <c r="F23" s="1"/>
      <c r="G23" s="1"/>
      <c r="H23" s="1"/>
      <c r="I23" s="1"/>
      <c r="J23" s="1"/>
      <c r="K23" s="1"/>
      <c r="L23" s="1"/>
      <c r="M23" s="1"/>
      <c r="N23" s="1"/>
      <c r="O23" s="13"/>
      <c r="P23" s="1"/>
      <c r="Q23" s="1"/>
      <c r="R23" s="1"/>
      <c r="S23" s="1"/>
      <c r="T23" s="1"/>
      <c r="U23" s="1"/>
      <c r="V23" s="1"/>
      <c r="W23" s="1"/>
      <c r="X23" s="1"/>
      <c r="Y23" s="1"/>
      <c r="Z23" s="1"/>
      <c r="AA23" s="1"/>
      <c r="AB23" s="1"/>
    </row>
    <row r="24" spans="1:28">
      <c r="A24" s="151"/>
      <c r="B24" s="58" t="s">
        <v>399</v>
      </c>
      <c r="C24" s="58"/>
      <c r="D24" s="58"/>
      <c r="E24" s="58"/>
      <c r="F24" s="23"/>
      <c r="G24" s="23"/>
      <c r="H24" s="23"/>
      <c r="I24" s="23"/>
      <c r="J24" s="23"/>
      <c r="K24" s="23"/>
      <c r="L24" s="23"/>
      <c r="M24" s="23"/>
      <c r="N24" s="23"/>
      <c r="O24" s="15"/>
      <c r="P24" s="1"/>
      <c r="Q24" s="1"/>
      <c r="R24" s="1"/>
      <c r="S24" s="1"/>
      <c r="T24" s="1"/>
      <c r="U24" s="1"/>
      <c r="V24" s="1"/>
      <c r="W24" s="1"/>
      <c r="X24" s="1"/>
      <c r="Y24" s="1"/>
      <c r="Z24" s="1"/>
      <c r="AA24" s="1"/>
      <c r="AB24" s="1"/>
    </row>
    <row r="25" spans="1:28">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row>
    <row r="26" spans="1:28">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row>
    <row r="27" spans="1:28">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row>
    <row r="28" spans="1: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row>
    <row r="29" spans="1:28">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1:28">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row>
    <row r="31" spans="1:28">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sheetData>
  <mergeCells count="27">
    <mergeCell ref="A10:A13"/>
    <mergeCell ref="A14:A20"/>
    <mergeCell ref="A21:A24"/>
    <mergeCell ref="Q2:AB2"/>
    <mergeCell ref="Q4:AB8"/>
    <mergeCell ref="A7:B7"/>
    <mergeCell ref="C7:D7"/>
    <mergeCell ref="E7:F7"/>
    <mergeCell ref="G7:I7"/>
    <mergeCell ref="J7:O7"/>
    <mergeCell ref="A4:B4"/>
    <mergeCell ref="C4:O4"/>
    <mergeCell ref="A5:B5"/>
    <mergeCell ref="C5:O5"/>
    <mergeCell ref="A6:B6"/>
    <mergeCell ref="C6:D6"/>
    <mergeCell ref="E6:F6"/>
    <mergeCell ref="G6:I6"/>
    <mergeCell ref="J6:O6"/>
    <mergeCell ref="A2:B2"/>
    <mergeCell ref="C2:D2"/>
    <mergeCell ref="F2:G2"/>
    <mergeCell ref="H2:O2"/>
    <mergeCell ref="A3:B3"/>
    <mergeCell ref="C3:D3"/>
    <mergeCell ref="F3:G3"/>
    <mergeCell ref="H3:O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Guideline</vt:lpstr>
      <vt:lpstr>Cover</vt:lpstr>
      <vt:lpstr>FunctionList</vt:lpstr>
      <vt:lpstr>Test Report</vt:lpstr>
      <vt:lpstr>UT01_XacThuc</vt:lpstr>
      <vt:lpstr>UT02_ToChuc</vt:lpstr>
      <vt:lpstr>UT03_Workspace_RBAC</vt:lpstr>
      <vt:lpstr>UT04_Dashboard_DieuHuong</vt:lpstr>
      <vt:lpstr>UT05_Survey_ThuCong</vt:lpstr>
      <vt:lpstr>UT06_Import_CSV_XLSX</vt:lpstr>
      <vt:lpstr>UT07_TestBank_Adaptive</vt:lpstr>
      <vt:lpstr>UT08_PhanHoi</vt:lpstr>
      <vt:lpstr>UT09_PhanTich_Insights</vt:lpstr>
      <vt:lpstr>UT10_AI_TaoSurvey</vt:lpstr>
      <vt:lpstr>UT11_AI_Dich</vt:lpstr>
      <vt:lpstr>UT12_AI_Sentiment</vt:lpstr>
      <vt:lpstr>UT13_AI_TopicTree</vt:lpstr>
      <vt:lpstr>UT14_AI_ResultChat</vt:lpstr>
      <vt:lpstr>UT15_TichHop</vt:lpstr>
      <vt:lpstr>UT16_API</vt:lpstr>
      <vt:lpstr>UT17_LuuTru_Email</vt:lpstr>
      <vt:lpstr>Bài mẫu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Nguyễn Tô Hoàng Gia</cp:lastModifiedBy>
  <dcterms:created xsi:type="dcterms:W3CDTF">2026-08-08T13:58:27Z</dcterms:created>
  <dcterms:modified xsi:type="dcterms:W3CDTF">2026-08-08T13:58:28Z</dcterms:modified>
</cp:coreProperties>
</file>