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Cover" sheetId="2" state="visible" r:id="rId2"/>
    <sheet xmlns:r="http://schemas.openxmlformats.org/officeDocument/2006/relationships" name="FunctionList" sheetId="3" state="visible" r:id="rId3"/>
    <sheet xmlns:r="http://schemas.openxmlformats.org/officeDocument/2006/relationships" name="Test Report" sheetId="4" state="visible" r:id="rId4"/>
    <sheet xmlns:r="http://schemas.openxmlformats.org/officeDocument/2006/relationships" name="UT_KS_ThuCong" sheetId="5" state="visible" r:id="rId5"/>
    <sheet xmlns:r="http://schemas.openxmlformats.org/officeDocument/2006/relationships" name="UT_Import_CSV_Bank" sheetId="6" state="visible" r:id="rId6"/>
    <sheet xmlns:r="http://schemas.openxmlformats.org/officeDocument/2006/relationships" name="UT_AI_TaoForm_Prompt" sheetId="7" state="visible" r:id="rId7"/>
    <sheet xmlns:r="http://schemas.openxmlformats.org/officeDocument/2006/relationships" name="UT_AI_Chat_Result" sheetId="8" state="visible" r:id="rId8"/>
    <sheet xmlns:r="http://schemas.openxmlformats.org/officeDocument/2006/relationships" name="UT_AI_DichThuat" sheetId="9" state="visible" r:id="rId9"/>
    <sheet xmlns:r="http://schemas.openxmlformats.org/officeDocument/2006/relationships" name="UT_AI_PhanTich_CamXuc" sheetId="10" state="visible" r:id="rId10"/>
    <sheet xmlns:r="http://schemas.openxmlformats.org/officeDocument/2006/relationships" name="UT_PhanHoi_Pipeline" sheetId="11" state="visible" r:id="rId11"/>
    <sheet xmlns:r="http://schemas.openxmlformats.org/officeDocument/2006/relationships" name="UT_Workspace_Org" sheetId="12" state="visible" r:id="rId12"/>
    <sheet xmlns:r="http://schemas.openxmlformats.org/officeDocument/2006/relationships" name="UT_API_Storage" sheetId="13" state="visible" r:id="rId13"/>
    <sheet xmlns:r="http://schemas.openxmlformats.org/officeDocument/2006/relationships" name="UT_Email_HeThong" sheetId="14" state="visible" r:id="rId14"/>
  </sheets>
  <definedNames/>
  <calcPr calcId="124519" fullCalcOnLoad="1"/>
</workbook>
</file>

<file path=xl/styles.xml><?xml version="1.0" encoding="utf-8"?>
<styleSheet xmlns="http://schemas.openxmlformats.org/spreadsheetml/2006/main">
  <numFmts count="1">
    <numFmt numFmtId="164" formatCode="0.00 %"/>
  </numFmts>
  <fonts count="10">
    <font>
      <name val="Calibri"/>
      <family val="2"/>
      <color theme="1"/>
      <sz val="11"/>
      <scheme val="minor"/>
    </font>
    <font>
      <name val="Arial"/>
      <b val="1"/>
      <color rgb="001F497D"/>
      <sz val="16"/>
    </font>
    <font>
      <name val="Arial"/>
      <sz val="10"/>
    </font>
    <font>
      <name val="Arial"/>
      <b val="1"/>
      <color rgb="00002060"/>
      <sz val="11"/>
    </font>
    <font>
      <name val="Arial"/>
      <b val="1"/>
      <sz val="10"/>
    </font>
    <font>
      <name val="Arial"/>
      <b val="1"/>
      <color rgb="00FFFFFF"/>
      <sz val="10"/>
    </font>
    <font>
      <name val="Arial"/>
      <sz val="9"/>
    </font>
    <font>
      <name val="Arial"/>
      <color rgb="000563C1"/>
      <sz val="10"/>
      <u val="single"/>
    </font>
    <font>
      <name val="Arial"/>
      <i val="1"/>
      <color rgb="00595959"/>
      <sz val="10"/>
    </font>
    <font>
      <name val="Arial"/>
      <b val="1"/>
      <sz val="9"/>
    </font>
  </fonts>
  <fills count="10">
    <fill>
      <patternFill/>
    </fill>
    <fill>
      <patternFill patternType="gray125"/>
    </fill>
    <fill>
      <patternFill patternType="solid">
        <fgColor rgb="00DCE6F1"/>
      </patternFill>
    </fill>
    <fill>
      <patternFill patternType="solid">
        <fgColor rgb="001F497D"/>
      </patternFill>
    </fill>
    <fill>
      <patternFill patternType="solid">
        <fgColor rgb="00C6EFCE"/>
      </patternFill>
    </fill>
    <fill>
      <patternFill patternType="solid">
        <fgColor rgb="00FFC7CE"/>
      </patternFill>
    </fill>
    <fill>
      <patternFill patternType="solid">
        <fgColor rgb="00FFEB9C"/>
      </patternFill>
    </fill>
    <fill>
      <patternFill patternType="solid">
        <fgColor rgb="00002060"/>
      </patternFill>
    </fill>
    <fill>
      <patternFill patternType="solid">
        <fgColor rgb="00F2F5F9"/>
      </patternFill>
    </fill>
    <fill>
      <patternFill patternType="solid">
        <fgColor rgb="00EAEAEA"/>
      </patternFill>
    </fill>
  </fills>
  <borders count="12">
    <border>
      <left/>
      <right/>
      <top/>
      <bottom/>
      <diagonal/>
    </border>
    <border>
      <left style="thin">
        <color rgb="00B0C4DE"/>
      </left>
      <right style="thin">
        <color rgb="00B0C4DE"/>
      </right>
      <top style="thin">
        <color rgb="00B0C4DE"/>
      </top>
      <bottom style="thin">
        <color rgb="00B0C4DE"/>
      </bottom>
    </border>
    <border>
      <left/>
      <right/>
      <top style="thin">
        <color rgb="00B0C4DE"/>
      </top>
      <bottom/>
      <diagonal/>
    </border>
    <border>
      <left/>
      <right style="thin">
        <color rgb="00B0C4DE"/>
      </right>
      <top style="thin">
        <color rgb="00B0C4DE"/>
      </top>
      <bottom/>
      <diagonal/>
    </border>
    <border>
      <left/>
      <right/>
      <top style="thin">
        <color rgb="00B0C4DE"/>
      </top>
      <bottom style="thin">
        <color rgb="00B0C4DE"/>
      </bottom>
      <diagonal/>
    </border>
    <border>
      <left/>
      <right style="thin">
        <color rgb="00B0C4DE"/>
      </right>
      <top style="thin">
        <color rgb="00B0C4DE"/>
      </top>
      <bottom style="thin">
        <color rgb="00B0C4DE"/>
      </bottom>
      <diagonal/>
    </border>
    <border>
      <left style="thin">
        <color rgb="00B0C4DE"/>
      </left>
      <right style="thin">
        <color rgb="00B0C4DE"/>
      </right>
      <top style="thin">
        <color rgb="00B0C4DE"/>
      </top>
      <bottom style="medium">
        <color rgb="001F497D"/>
      </bottom>
    </border>
    <border>
      <left/>
      <right style="thin">
        <color rgb="00B0C4DE"/>
      </right>
      <top style="thin">
        <color rgb="00B0C4DE"/>
      </top>
      <bottom style="medium">
        <color rgb="001F497D"/>
      </bottom>
      <diagonal/>
    </border>
    <border>
      <left/>
      <right/>
      <top style="thin">
        <color rgb="00B0C4DE"/>
      </top>
      <bottom style="medium">
        <color rgb="001F497D"/>
      </bottom>
      <diagonal/>
    </border>
    <border>
      <left style="thin">
        <color rgb="00B0C4DE"/>
      </left>
      <right/>
      <top/>
      <bottom/>
      <diagonal/>
    </border>
    <border>
      <left style="thin">
        <color rgb="00B0C4DE"/>
      </left>
      <right style="thin">
        <color rgb="00B0C4DE"/>
      </right>
      <top/>
      <bottom/>
      <diagonal/>
    </border>
    <border>
      <left style="thin">
        <color rgb="00B0C4DE"/>
      </left>
      <right style="thin">
        <color rgb="00B0C4DE"/>
      </right>
      <top/>
      <bottom style="thin">
        <color rgb="00B0C4DE"/>
      </bottom>
      <diagonal/>
    </border>
  </borders>
  <cellStyleXfs count="1">
    <xf numFmtId="0" fontId="0" fillId="0" borderId="0"/>
  </cellStyleXfs>
  <cellXfs count="31">
    <xf numFmtId="0" fontId="0" fillId="0" borderId="0" pivotButton="0" quotePrefix="0" xfId="0"/>
    <xf numFmtId="0" fontId="1" fillId="0" borderId="1" applyAlignment="1" pivotButton="0" quotePrefix="0" xfId="0">
      <alignment vertical="center" wrapText="1"/>
    </xf>
    <xf numFmtId="0" fontId="2" fillId="0" borderId="1" applyAlignment="1" pivotButton="0" quotePrefix="0" xfId="0">
      <alignment vertical="center" wrapText="1"/>
    </xf>
    <xf numFmtId="0" fontId="3" fillId="0" borderId="1" applyAlignment="1" pivotButton="0" quotePrefix="0" xfId="0">
      <alignment vertical="center" wrapText="1"/>
    </xf>
    <xf numFmtId="0" fontId="1" fillId="0" borderId="1" applyAlignment="1" pivotButton="0" quotePrefix="0" xfId="0">
      <alignment horizontal="center" vertical="center" wrapText="1"/>
    </xf>
    <xf numFmtId="0" fontId="4" fillId="2" borderId="1" applyAlignment="1" pivotButton="0" quotePrefix="0" xfId="0">
      <alignment vertical="center" wrapText="1"/>
    </xf>
    <xf numFmtId="0" fontId="5" fillId="3"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0" borderId="1" applyAlignment="1" pivotButton="0" quotePrefix="0" xfId="0">
      <alignment horizontal="center" vertical="center" wrapText="1"/>
    </xf>
    <xf numFmtId="0" fontId="6" fillId="0" borderId="1" applyAlignment="1" pivotButton="0" quotePrefix="0" xfId="0">
      <alignment vertical="center" wrapText="1"/>
    </xf>
    <xf numFmtId="0" fontId="7" fillId="0" borderId="1" applyAlignment="1" pivotButton="0" quotePrefix="0" xfId="0">
      <alignment vertical="center" wrapText="1"/>
    </xf>
    <xf numFmtId="0" fontId="4" fillId="0" borderId="1" applyAlignment="1" pivotButton="0" quotePrefix="0" xfId="0">
      <alignment horizontal="center" vertical="center" wrapText="1"/>
    </xf>
    <xf numFmtId="0" fontId="4" fillId="2" borderId="1" applyAlignment="1" pivotButton="0" quotePrefix="0" xfId="0">
      <alignment horizontal="center" vertical="center" wrapText="1"/>
    </xf>
    <xf numFmtId="0" fontId="4" fillId="0" borderId="1" applyAlignment="1" pivotButton="0" quotePrefix="0" xfId="0">
      <alignment vertical="center" wrapText="1"/>
    </xf>
    <xf numFmtId="164" fontId="4" fillId="0" borderId="1" applyAlignment="1" pivotButton="0" quotePrefix="0" xfId="0">
      <alignment horizontal="center" vertical="center" wrapText="1"/>
    </xf>
    <xf numFmtId="0" fontId="5" fillId="3" borderId="6" applyAlignment="1" pivotButton="0" quotePrefix="0" xfId="0">
      <alignment horizontal="center" vertical="center" wrapText="1"/>
    </xf>
    <xf numFmtId="0" fontId="0" fillId="0" borderId="7" pivotButton="0" quotePrefix="0" xfId="0"/>
    <xf numFmtId="0" fontId="4" fillId="0" borderId="1" applyAlignment="1" pivotButton="0" quotePrefix="0" xfId="0">
      <alignment horizontal="left" vertical="center" wrapText="1"/>
    </xf>
    <xf numFmtId="0" fontId="0" fillId="0" borderId="8" pivotButton="0" quotePrefix="0" xfId="0"/>
    <xf numFmtId="0" fontId="8" fillId="0" borderId="1" applyAlignment="1" pivotButton="0" quotePrefix="0" xfId="0">
      <alignment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7" borderId="1" applyAlignment="1" pivotButton="0" quotePrefix="0" xfId="0">
      <alignment horizontal="center" vertical="center" textRotation="90"/>
    </xf>
    <xf numFmtId="0" fontId="9" fillId="8" borderId="1" applyAlignment="1" pivotButton="0" quotePrefix="0" xfId="0">
      <alignment horizontal="center" vertical="center" wrapText="1"/>
    </xf>
    <xf numFmtId="0" fontId="0" fillId="0" borderId="10" pivotButton="0" quotePrefix="0" xfId="0"/>
    <xf numFmtId="0" fontId="0" fillId="0" borderId="11" pivotButton="0" quotePrefix="0" xfId="0"/>
    <xf numFmtId="0" fontId="6" fillId="5" borderId="1" applyAlignment="1" pivotButton="0" quotePrefix="0" xfId="0">
      <alignment vertical="center" wrapText="1"/>
    </xf>
    <xf numFmtId="0" fontId="5" fillId="7" borderId="1" applyAlignment="1" pivotButton="0" quotePrefix="0" xfId="0">
      <alignment horizontal="center" vertical="center" wrapText="1"/>
    </xf>
    <xf numFmtId="0" fontId="4" fillId="9"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Tỷ lệ Kết Quả Kiểm Thử (Passed Percent)</a:t>
            </a:r>
          </a:p>
        </rich>
      </tx>
    </title>
    <plotArea>
      <pieChart>
        <varyColors val="1"/>
        <ser>
          <idx val="0"/>
          <order val="0"/>
          <spPr>
            <a:ln xmlns:a="http://schemas.openxmlformats.org/drawingml/2006/main">
              <a:prstDash val="solid"/>
            </a:ln>
          </spPr>
          <cat>
            <numRef>
              <f>'Test Report'!$C$11:$E$11</f>
            </numRef>
          </cat>
          <val>
            <numRef>
              <f>'Test Report'!$C$23:$E$23</f>
            </numRef>
          </val>
        </ser>
        <dLbls>
          <showPercent val="1"/>
        </dLbls>
        <firstSliceAng val="0"/>
      </pieChart>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Phân Bố Loại Kịch Bản Test (Test Types: N / A / B)</a:t>
            </a:r>
          </a:p>
        </rich>
      </tx>
    </title>
    <plotArea>
      <barChart>
        <barDir val="col"/>
        <grouping val="clustered"/>
        <ser>
          <idx val="0"/>
          <order val="0"/>
          <spPr>
            <a:ln xmlns:a="http://schemas.openxmlformats.org/drawingml/2006/main">
              <a:prstDash val="solid"/>
            </a:ln>
          </spPr>
          <cat>
            <numRef>
              <f>'Test Report'!$F$11:$H$11</f>
            </numRef>
          </cat>
          <val>
            <numRef>
              <f>'Test Report'!$F$23:$H$23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30</row>
      <rowOff>0</rowOff>
    </from>
    <ext cx="648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30</row>
      <rowOff>0</rowOff>
    </from>
    <ext cx="576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UT_KS_ThuCong!A1" TargetMode="External" Id="rId1"/><Relationship Type="http://schemas.openxmlformats.org/officeDocument/2006/relationships/hyperlink" Target="#UT_Import_CSV_Bank!A1" TargetMode="External" Id="rId2"/><Relationship Type="http://schemas.openxmlformats.org/officeDocument/2006/relationships/hyperlink" Target="#UT_AI_TaoForm_Prompt!A1" TargetMode="External" Id="rId3"/><Relationship Type="http://schemas.openxmlformats.org/officeDocument/2006/relationships/hyperlink" Target="#UT_AI_Chat_Result!A1" TargetMode="External" Id="rId4"/><Relationship Type="http://schemas.openxmlformats.org/officeDocument/2006/relationships/hyperlink" Target="#UT_AI_DichThuat!A1" TargetMode="External" Id="rId5"/><Relationship Type="http://schemas.openxmlformats.org/officeDocument/2006/relationships/hyperlink" Target="#UT_AI_PhanTich_CamXuc!A1" TargetMode="External" Id="rId6"/><Relationship Type="http://schemas.openxmlformats.org/officeDocument/2006/relationships/hyperlink" Target="#UT_PhanHoi_Pipeline!A1" TargetMode="External" Id="rId7"/><Relationship Type="http://schemas.openxmlformats.org/officeDocument/2006/relationships/hyperlink" Target="#UT_Workspace_Org!A1" TargetMode="External" Id="rId8"/><Relationship Type="http://schemas.openxmlformats.org/officeDocument/2006/relationships/hyperlink" Target="#UT_API_Storage!A1" TargetMode="External" Id="rId9"/><Relationship Type="http://schemas.openxmlformats.org/officeDocument/2006/relationships/hyperlink" Target="#UT_Email_HeThong!A1" TargetMode="External" Id="rId10"/></Relationships>
</file>

<file path=xl/worksheets/_rels/sheet4.xml.rels><Relationships xmlns="http://schemas.openxmlformats.org/package/2006/relationships"><Relationship Type="http://schemas.openxmlformats.org/officeDocument/2006/relationships/hyperlink" Target="#UT_KS_ThuCong!A1" TargetMode="External" Id="rId1"/><Relationship Type="http://schemas.openxmlformats.org/officeDocument/2006/relationships/hyperlink" Target="#UT_Import_CSV_Bank!A1" TargetMode="External" Id="rId2"/><Relationship Type="http://schemas.openxmlformats.org/officeDocument/2006/relationships/hyperlink" Target="#UT_AI_TaoForm_Prompt!A1" TargetMode="External" Id="rId3"/><Relationship Type="http://schemas.openxmlformats.org/officeDocument/2006/relationships/hyperlink" Target="#UT_AI_Chat_Result!A1" TargetMode="External" Id="rId4"/><Relationship Type="http://schemas.openxmlformats.org/officeDocument/2006/relationships/hyperlink" Target="#UT_AI_DichThuat!A1" TargetMode="External" Id="rId5"/><Relationship Type="http://schemas.openxmlformats.org/officeDocument/2006/relationships/hyperlink" Target="#UT_AI_PhanTich_CamXuc!A1" TargetMode="External" Id="rId6"/><Relationship Type="http://schemas.openxmlformats.org/officeDocument/2006/relationships/hyperlink" Target="#UT_PhanHoi_Pipeline!A1" TargetMode="External" Id="rId7"/><Relationship Type="http://schemas.openxmlformats.org/officeDocument/2006/relationships/hyperlink" Target="#UT_Workspace_Org!A1" TargetMode="External" Id="rId8"/><Relationship Type="http://schemas.openxmlformats.org/officeDocument/2006/relationships/hyperlink" Target="#UT_API_Storage!A1" TargetMode="External" Id="rId9"/><Relationship Type="http://schemas.openxmlformats.org/officeDocument/2006/relationships/hyperlink" Target="#UT_Email_HeThong!A1" TargetMode="External" Id="rId10"/><Relationship Type="http://schemas.openxmlformats.org/officeDocument/2006/relationships/drawing" Target="/xl/drawings/drawing1.xml" Id="rId11"/></Relationships>
</file>

<file path=xl/worksheets/sheet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45" customWidth="1" min="1" max="1"/>
  </cols>
  <sheetData>
    <row r="1">
      <c r="A1" s="1" t="inlineStr">
        <is>
          <t>HƯỚNG DẪN SỬ DỤNG BỘ TEST CASE AUT — FORMBRICKS PLATFORM &amp; AI-LAB</t>
        </is>
      </c>
    </row>
    <row r="3">
      <c r="A3" s="2" t="inlineStr"/>
    </row>
    <row r="4">
      <c r="A4" s="3" t="inlineStr">
        <is>
          <t>1. TỔNG QUAN TÀI LIỆU KIỂM THỬ (OVERVIEW)</t>
        </is>
      </c>
    </row>
    <row r="5">
      <c r="A5" s="2" t="inlineStr">
        <is>
          <t xml:space="preserve"> - Bộ tài liệu Test Case này được thiết kế theo tiêu chuẩn AUT (Application Under Test) dành cho kiểm thử thủ công (Manual Acceptance Testing).</t>
        </is>
      </c>
    </row>
    <row r="6">
      <c r="A6" s="2" t="inlineStr">
        <is>
          <t xml:space="preserve"> - Mục đích cao nhất: Cung cấp bộ kịch bản kiểm thử trực quan, dễ hiểu nhất cho End User (người dùng cuối/tester) nghiệm thu toàn bộ tính năng hệ thống.</t>
        </is>
      </c>
    </row>
    <row r="7">
      <c r="A7" s="2" t="inlineStr">
        <is>
          <t xml:space="preserve"> - Bao phủ 100% các chức năng Core: Tạo khảo sát thủ công, Import CSV Ngân hàng câu hỏi, các tính năng AI-Native (Prompt-to-Form, Chat-to-Chat kết quả, Dịch thuật AI, Phân tích Cảm xúc &amp; Cây Chủ đề Topic/Sub-topic).</t>
        </is>
      </c>
    </row>
    <row r="8">
      <c r="A8" s="2" t="inlineStr"/>
    </row>
    <row r="9">
      <c r="A9" s="3" t="inlineStr">
        <is>
          <t>2. CẤU TRÚC BỘ EXCEL (WORKBOOK STRUCTURE)</t>
        </is>
      </c>
    </row>
    <row r="10">
      <c r="A10" s="2" t="inlineStr">
        <is>
          <t xml:space="preserve"> - Sheet 'Cover': Bìa hồ sơ dự án, phiên bản tài liệu và Nhật ký ghi nhận thay đổi (Record of Change).</t>
        </is>
      </c>
    </row>
    <row r="11">
      <c r="A11" s="2" t="inlineStr">
        <is>
          <t xml:space="preserve"> - Sheet 'FunctionList': Danh mục toàn bộ 10 Module chức năng. Có chèn LINK TRỰC TIẾP (Hyperlink) bấm chuyển thẳng tới tab tương ứng.</t>
        </is>
      </c>
    </row>
    <row r="12">
      <c r="A12" s="2" t="inlineStr">
        <is>
          <t xml:space="preserve"> - Sheet 'Test Report': Dashboard tổng hợp báo cáo kết quả kiểm thử tự động bằng công thức Excel `=COUNTIF(...)`, kèm BIỂU ĐỒ TRÒN &amp; BIỂU ĐỒ CỘT trực quan.</t>
        </is>
      </c>
    </row>
    <row r="13">
      <c r="A13" s="2" t="inlineStr">
        <is>
          <t xml:space="preserve"> - 10 Sheet 'UT_*': Chi tiết kịch bản test từng module được trình bày theo mô hình chuẩn: Condition (Điều kiện) -&gt; Confirm (Xác nhận) -&gt; Result (Kết quả).</t>
        </is>
      </c>
    </row>
    <row r="14">
      <c r="A14" s="2" t="inlineStr"/>
    </row>
    <row r="15">
      <c r="A15" s="3" t="inlineStr">
        <is>
          <t>3. QUY ƯỚC PHÂN LOẠI TEST CASE (TEST TYPES)</t>
        </is>
      </c>
    </row>
    <row r="16">
      <c r="A16" s="2" t="inlineStr">
        <is>
          <t xml:space="preserve"> - [N] Normal (Bình thường): Dữ liệu đầu vào chuẩn hợp lệ — Kiểm tra luồng chạy chính (Happy Path).</t>
        </is>
      </c>
    </row>
    <row r="17">
      <c r="A17" s="2" t="inlineStr">
        <is>
          <t xml:space="preserve"> - [B] Boundary (Giá trị biên): Dữ liệu ở hạn mức cực đại, cực tiểu, rỗng, văn bản rất dài, Unicode hoặc độ phân giải cao.</t>
        </is>
      </c>
    </row>
    <row r="18">
      <c r="A18" s="2" t="inlineStr">
        <is>
          <t xml:space="preserve"> - [A] Abnormal (Bất thường): Dữ liệu sai định dạng, thiếu thông tin bắt buộc, cố tình gây lỗi — Kiểm tra khả năng xử lý ngoại lệ an toàn.</t>
        </is>
      </c>
    </row>
    <row r="19">
      <c r="A19" s="2" t="inlineStr"/>
    </row>
    <row r="20">
      <c r="A20" s="3" t="inlineStr">
        <is>
          <t>4. HƯỚNG DẪN THỰC HIỆN TEST TỪNG BƯỚC CHO END USER (STEP-BY-STEP MANUAL QA)</t>
        </is>
      </c>
    </row>
    <row r="21">
      <c r="A21" s="2" t="inlineStr">
        <is>
          <t xml:space="preserve"> - Bước 1: Mở sheet module cần test (Ví dụ: UT_AI_TaoForm_Prompt).</t>
        </is>
      </c>
    </row>
    <row r="22">
      <c r="A22" s="2" t="inlineStr">
        <is>
          <t xml:space="preserve"> - Bước 2: Quan sát mã bài test ở dòng UTCID (Ví dụ: UTCID01).</t>
        </is>
      </c>
    </row>
    <row r="23">
      <c r="A23" s="2" t="inlineStr">
        <is>
          <t xml:space="preserve"> - Bước 3: Xem thông tin Tiền điều kiện (Precondition) và đọc các tham số đầu vào trong phần 'Condition'.</t>
        </is>
      </c>
    </row>
    <row r="24">
      <c r="A24" s="2" t="inlineStr">
        <is>
          <t xml:space="preserve"> - Bước 4: Thao tác trực tiếp trên phần mềm Formbricks theo đúng dữ liệu trong 'Condition'.</t>
        </is>
      </c>
    </row>
    <row r="25">
      <c r="A25" s="2" t="inlineStr">
        <is>
          <t xml:space="preserve"> - Bước 5: So sánh kết quả thực tế trên màn hình với kết quả mong đợi trong phần 'Confirm' (Kết quả mong đợi, Lỗi dự kiến, Log).</t>
        </is>
      </c>
    </row>
    <row r="26">
      <c r="A26" s="2" t="inlineStr">
        <is>
          <t xml:space="preserve"> - Bước 6: Đánh giá và ghi kết quả vào dòng Passed/Failed:</t>
        </is>
      </c>
    </row>
    <row r="27">
      <c r="A27" s="2" t="inlineStr">
        <is>
          <t xml:space="preserve">           + Điền 'Passed' (chữ P viết hoa) nếu phần mềm hoạt động đúng như mô tả -&gt; Cột sẽ đổi màu XANH NỔI BẬT.</t>
        </is>
      </c>
    </row>
    <row r="28">
      <c r="A28" s="2" t="inlineStr">
        <is>
          <t xml:space="preserve">           + Điền 'Failed' nếu phần mềm ra lỗi hoặc không đúng mong đợi -&gt; Cột sẽ đổi màu ĐỎ CẢNH BÁO.</t>
        </is>
      </c>
    </row>
    <row r="29">
      <c r="A29" s="2" t="inlineStr">
        <is>
          <t xml:space="preserve"> - Bước 7: Nếu Failed, người test ghi bổ sung Mã lỗi (Defect ID) và Ngày thực hiện ở các dòng bên dưới.</t>
        </is>
      </c>
    </row>
    <row r="30">
      <c r="A30" s="2" t="inlineStr"/>
    </row>
    <row r="31">
      <c r="A31" s="3" t="inlineStr">
        <is>
          <t>5. TÍNH NĂNG TỰ ĐỘNG CẬP NHẬT BÁO CÁO (AUTOMATIC DASHBOARD SYNC)</t>
        </is>
      </c>
    </row>
    <row r="32">
      <c r="A32" s="2" t="inlineStr">
        <is>
          <t xml:space="preserve"> - Ngay khi người test điền 'Passed' hoặc 'Failed' tại các sheet UT, sheet 'Test Report' sẽ tự động nhảy số liệu % Phủ sóng (Coverage), % Thành công và cập nhật Biểu đồ Đạt/Lỗi realtime.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F13"/>
  <sheetViews>
    <sheetView workbookViewId="0">
      <selection activeCell="A1" sqref="A1"/>
    </sheetView>
  </sheetViews>
  <sheetFormatPr baseColWidth="8" defaultRowHeight="15"/>
  <cols>
    <col width="22" customWidth="1" min="1" max="1"/>
    <col width="28" customWidth="1" min="2" max="2"/>
    <col width="22" customWidth="1" min="3" max="3"/>
    <col width="10" customWidth="1" min="4" max="4"/>
    <col width="32" customWidth="1" min="5" max="5"/>
    <col width="45" customWidth="1" min="6" max="6"/>
  </cols>
  <sheetData>
    <row r="2">
      <c r="B2" s="4" t="inlineStr">
        <is>
          <t>HỒ SƠ KIỂM THỬ PHẦN MỀM (UNIT &amp; ACCEPTANCE TEST CASE)</t>
        </is>
      </c>
    </row>
    <row r="4">
      <c r="A4" s="5" t="inlineStr">
        <is>
          <t>Project Name (Tên dự án)</t>
        </is>
      </c>
      <c r="B4" s="2" t="inlineStr">
        <is>
          <t>Formbricks Platform &amp; AI-Lab</t>
        </is>
      </c>
      <c r="E4" s="5" t="inlineStr">
        <is>
          <t>Creator (Người lập)</t>
        </is>
      </c>
      <c r="F4" s="2" t="inlineStr">
        <is>
          <t>Chuyên viên QA / Antigravity Team</t>
        </is>
      </c>
    </row>
    <row r="5">
      <c r="A5" s="5" t="inlineStr">
        <is>
          <t>Project Code (Mã dự án)</t>
        </is>
      </c>
      <c r="B5" s="2" t="inlineStr">
        <is>
          <t>FB-AUT-AI</t>
        </is>
      </c>
      <c r="E5" s="5" t="inlineStr">
        <is>
          <t>Reviewer (Người duyệt)</t>
        </is>
      </c>
      <c r="F5" s="2" t="inlineStr">
        <is>
          <t>Quản lý Dự án / Lead Tester</t>
        </is>
      </c>
    </row>
    <row r="6">
      <c r="A6" s="5" t="inlineStr">
        <is>
          <t>Document Code (Mã tài liệu)</t>
        </is>
      </c>
      <c r="B6" s="2" t="inlineStr">
        <is>
          <t>FB-AUT-AI_AUT_v3.5.0</t>
        </is>
      </c>
      <c r="E6" s="5" t="inlineStr">
        <is>
          <t>Issue Date (Ngày phát hành)</t>
        </is>
      </c>
      <c r="F6" s="2" t="inlineStr">
        <is>
          <t>2026-08-08</t>
        </is>
      </c>
    </row>
    <row r="7">
      <c r="E7" s="5" t="inlineStr">
        <is>
          <t>Version (Phiên bản)</t>
        </is>
      </c>
      <c r="F7" s="2" t="inlineStr">
        <is>
          <t>v3.5.0</t>
        </is>
      </c>
    </row>
    <row r="10">
      <c r="A10" s="3" t="inlineStr">
        <is>
          <t>Nhật ký ghi nhận thay đổi (Record of change)</t>
        </is>
      </c>
    </row>
    <row r="11">
      <c r="A11" s="6" t="inlineStr">
        <is>
          <t>Effective Date</t>
        </is>
      </c>
      <c r="B11" s="6" t="inlineStr">
        <is>
          <t>Version</t>
        </is>
      </c>
      <c r="C11" s="6" t="inlineStr">
        <is>
          <t>Change Item</t>
        </is>
      </c>
      <c r="D11" s="6" t="inlineStr">
        <is>
          <t>*A,D,M</t>
        </is>
      </c>
      <c r="E11" s="6" t="inlineStr">
        <is>
          <t>Change description</t>
        </is>
      </c>
      <c r="F11" s="6" t="inlineStr">
        <is>
          <t>Reference</t>
        </is>
      </c>
    </row>
    <row r="12">
      <c r="A12" s="2" t="inlineStr">
        <is>
          <t>2026-08-08</t>
        </is>
      </c>
      <c r="B12" s="2" t="inlineStr">
        <is>
          <t>v3.5.0</t>
        </is>
      </c>
      <c r="C12" s="2" t="inlineStr">
        <is>
          <t>Tạo mới bộ test case AUT</t>
        </is>
      </c>
      <c r="D12" s="2" t="inlineStr">
        <is>
          <t>A</t>
        </is>
      </c>
      <c r="E12" s="2" t="inlineStr">
        <is>
          <t>Tạo mới toàn bộ 150+ kịch bản test bao phủ Core &amp; AI Native Formbricks</t>
        </is>
      </c>
      <c r="F12" s="2" t="inlineStr">
        <is>
          <t>Mã nguồn Formbricks v3.5</t>
        </is>
      </c>
    </row>
    <row r="13">
      <c r="A13" s="2" t="inlineStr">
        <is>
          <t>2026-08-08</t>
        </is>
      </c>
      <c r="B13" s="2" t="inlineStr">
        <is>
          <t>v3.5.0</t>
        </is>
      </c>
      <c r="C13" s="2" t="inlineStr">
        <is>
          <t>Cập nhật AI Native &amp; Import CSV</t>
        </is>
      </c>
      <c r="D13" s="2" t="inlineStr">
        <is>
          <t>M</t>
        </is>
      </c>
      <c r="E13" s="2" t="inlineStr">
        <is>
          <t>Bổ sung test case chi tiết cho AI Prompt, Chat, Translation, Topic Tree &amp; CSV Bank</t>
        </is>
      </c>
      <c r="F13" s="2" t="inlineStr">
        <is>
          <t>Thiết kế hệ thống AI-Lab</t>
        </is>
      </c>
    </row>
  </sheetData>
  <mergeCells count="1">
    <mergeCell ref="B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H20"/>
  <sheetViews>
    <sheetView workbookViewId="0">
      <selection activeCell="A1" sqref="A1"/>
    </sheetView>
  </sheetViews>
  <sheetFormatPr baseColWidth="8" defaultRowHeight="15"/>
  <cols>
    <col width="6" customWidth="1" min="1" max="1"/>
    <col width="25" customWidth="1" min="2" max="2"/>
    <col width="20" customWidth="1" min="3" max="3"/>
    <col width="42" customWidth="1" min="4" max="4"/>
    <col width="18" customWidth="1" min="5" max="5"/>
    <col width="24" customWidth="1" min="6" max="6"/>
    <col width="55" customWidth="1" min="7" max="7"/>
    <col width="38" customWidth="1" min="8" max="8"/>
  </cols>
  <sheetData>
    <row r="2">
      <c r="D2" s="4" t="inlineStr">
        <is>
          <t>DANH MỤC CHỨC NĂNG KIỂM THỬ (FUNCTION LIST)</t>
        </is>
      </c>
    </row>
    <row r="4">
      <c r="A4" s="5" t="inlineStr">
        <is>
          <t>Project Name</t>
        </is>
      </c>
      <c r="B4" s="7" t="n"/>
      <c r="C4" s="8" t="n"/>
      <c r="D4" s="2" t="inlineStr">
        <is>
          <t>Formbricks Platform &amp; AI-Lab</t>
        </is>
      </c>
      <c r="E4" s="7" t="n"/>
      <c r="F4" s="7" t="n"/>
      <c r="G4" s="7" t="n"/>
      <c r="H4" s="8" t="n"/>
    </row>
    <row r="5">
      <c r="A5" s="5" t="inlineStr">
        <is>
          <t>Project Code</t>
        </is>
      </c>
      <c r="B5" s="7" t="n"/>
      <c r="C5" s="8" t="n"/>
      <c r="D5" s="2" t="inlineStr">
        <is>
          <t>FB-AUT-AI</t>
        </is>
      </c>
      <c r="E5" s="7" t="n"/>
      <c r="F5" s="7" t="n"/>
      <c r="G5" s="7" t="n"/>
      <c r="H5" s="8" t="n"/>
    </row>
    <row r="6">
      <c r="A6" s="5" t="inlineStr">
        <is>
          <t>Mật độ Test Case chuẩn</t>
        </is>
      </c>
      <c r="B6" s="7" t="n"/>
      <c r="C6" s="8" t="n"/>
      <c r="D6" s="2" t="inlineStr">
        <is>
          <t>15 Test Cases / Module (Đạt độ phủ 100%)</t>
        </is>
      </c>
    </row>
    <row r="7" ht="80" customHeight="1">
      <c r="A7" s="5" t="inlineStr">
        <is>
          <t>Môi trường kiểm thử (Test Environment)</t>
        </is>
      </c>
      <c r="B7" s="7" t="n"/>
      <c r="C7" s="8" t="n"/>
      <c r="D7" s="2" t="inlineStr">
        <is>
          <t>1. Hệ điều hành: Linux / Windows / macOS
2. Runtime: Node.js &gt;=20, pnpm dev server
3. Database: PostgreSQL + Prisma ORM, Redis Server
4. Dịch vụ AI Native: Google Gemini API / OpenAI Key
5. Lưu trữ &amp; Mail: Local S3 / AWS S3, Mailhog / SMTP Server
6. Trình duyệt thử nghiệm: Google Chrome, Mozilla Firefox, Microsoft Edge</t>
        </is>
      </c>
      <c r="E7" s="7" t="n"/>
      <c r="F7" s="7" t="n"/>
      <c r="G7" s="7" t="n"/>
      <c r="H7" s="8" t="n"/>
    </row>
    <row r="10">
      <c r="A10" s="6" t="inlineStr">
        <is>
          <t>STT</t>
        </is>
      </c>
      <c r="B10" s="6" t="inlineStr">
        <is>
          <t>Requirement Name (Yêu cầu)</t>
        </is>
      </c>
      <c r="C10" s="6" t="inlineStr">
        <is>
          <t>Class Name (Lớp)</t>
        </is>
      </c>
      <c r="D10" s="6" t="inlineStr">
        <is>
          <t>Function Name (Tên hàm)</t>
        </is>
      </c>
      <c r="E10" s="6" t="inlineStr">
        <is>
          <t>Function Code</t>
        </is>
      </c>
      <c r="F10" s="6" t="inlineStr">
        <is>
          <t>Sheet Name (Liên kết tab)</t>
        </is>
      </c>
      <c r="G10" s="6" t="inlineStr">
        <is>
          <t>Description (Mô tả chức năng)</t>
        </is>
      </c>
      <c r="H10" s="6" t="inlineStr">
        <is>
          <t>Pre-Condition (Tiền điều kiện)</t>
        </is>
      </c>
    </row>
    <row r="11">
      <c r="A11" s="9" t="n">
        <v>1</v>
      </c>
      <c r="B11" s="10" t="inlineStr">
        <is>
          <t>Kiểm tra tính năng tạo khảo sát thủ công từng</t>
        </is>
      </c>
      <c r="C11" s="2" t="inlineStr">
        <is>
          <t>SurveyManualModule</t>
        </is>
      </c>
      <c r="D11" s="2" t="inlineStr">
        <is>
          <t>Tạo &amp; Biên Tập Khảo Sát Thủ Công</t>
        </is>
      </c>
      <c r="E11" s="9" t="inlineStr">
        <is>
          <t>SURV-MANUAL-01</t>
        </is>
      </c>
      <c r="F11" s="11" t="inlineStr">
        <is>
          <t>UT_KS_ThuCong</t>
        </is>
      </c>
      <c r="G11" s="10" t="inlineStr">
        <is>
          <t>Quản lý tạo khảo sát thủ công: thêm đa dạng câu hỏi, cấu hình logic rẽ</t>
        </is>
      </c>
      <c r="H11" s="10" t="inlineStr">
        <is>
          <t>Đã đăng nhập tài khoản, Workspace đang hoạt đ</t>
        </is>
      </c>
    </row>
    <row r="12">
      <c r="A12" s="9" t="n">
        <v>2</v>
      </c>
      <c r="B12" s="10" t="inlineStr">
        <is>
          <t>Kiểm tra tính năng đọc file CSV, validate sch</t>
        </is>
      </c>
      <c r="C12" s="2" t="inlineStr">
        <is>
          <t>CsvImportModule</t>
        </is>
      </c>
      <c r="D12" s="2" t="inlineStr">
        <is>
          <t>Import CSV &amp; Ngân Hàng Câu Hỏi (Test Bank)</t>
        </is>
      </c>
      <c r="E12" s="9" t="inlineStr">
        <is>
          <t>SURV-CSV-02</t>
        </is>
      </c>
      <c r="F12" s="11" t="inlineStr">
        <is>
          <t>UT_Import_CSV_Bank</t>
        </is>
      </c>
      <c r="G12" s="10" t="inlineStr">
        <is>
          <t>Tải file CSV/Excel ngân hàng câu hỏi lên hệ thống, xác thực cấu trúc s</t>
        </is>
      </c>
      <c r="H12" s="10" t="inlineStr">
        <is>
          <t>Người dùng có quyền Read/Write trên Workspace</t>
        </is>
      </c>
    </row>
    <row r="13">
      <c r="A13" s="9" t="n">
        <v>3</v>
      </c>
      <c r="B13" s="10" t="inlineStr">
        <is>
          <t>Kiểm tra khả năng sinh khảo sát từ Prompt AI,</t>
        </is>
      </c>
      <c r="C13" s="2" t="inlineStr">
        <is>
          <t>AiFormPromptModule</t>
        </is>
      </c>
      <c r="D13" s="2" t="inlineStr">
        <is>
          <t>AI Native — Tạo Form Qua Mô Tả &amp; Prompt</t>
        </is>
      </c>
      <c r="E13" s="9" t="inlineStr">
        <is>
          <t>AI-FORM-03</t>
        </is>
      </c>
      <c r="F13" s="11" t="inlineStr">
        <is>
          <t>UT_AI_TaoForm_Prompt</t>
        </is>
      </c>
      <c r="G13" s="10" t="inlineStr">
        <is>
          <t>Tính năng AI Native: Tạo toàn bộ form khảo sát từ câu lệnh mô tả (Prom</t>
        </is>
      </c>
      <c r="H13" s="10" t="inlineStr">
        <is>
          <t>AI Provider (Google Gemini / OpenAI) đã cấu h</t>
        </is>
      </c>
    </row>
    <row r="14">
      <c r="A14" s="9" t="n">
        <v>4</v>
      </c>
      <c r="B14" s="10" t="inlineStr">
        <is>
          <t>Kiểm tra khả năng hỏi đáp AI, tóm tắt ý kiến,</t>
        </is>
      </c>
      <c r="C14" s="2" t="inlineStr">
        <is>
          <t>AiChatResultsModule</t>
        </is>
      </c>
      <c r="D14" s="2" t="inlineStr">
        <is>
          <t>AI Native — Chat Hỏi Đáp Kết Quả Khảo Sát</t>
        </is>
      </c>
      <c r="E14" s="9" t="inlineStr">
        <is>
          <t>AI-CHAT-04</t>
        </is>
      </c>
      <c r="F14" s="11" t="inlineStr">
        <is>
          <t>UT_AI_Chat_Result</t>
        </is>
      </c>
      <c r="G14" s="10" t="inlineStr">
        <is>
          <t xml:space="preserve">Tính năng AI Native Chat-to-Chat: Cho phép người dùng trò chuyện, đặt </t>
        </is>
      </c>
      <c r="H14" s="10" t="inlineStr">
        <is>
          <t>Khảo sát đã có dữ liệu phản hồi (tối thiểu 10</t>
        </is>
      </c>
    </row>
    <row r="15">
      <c r="A15" s="9" t="n">
        <v>5</v>
      </c>
      <c r="B15" s="10" t="inlineStr">
        <is>
          <t>Kiểm tra chất lượng dịch thuật AI, bảo toàn b</t>
        </is>
      </c>
      <c r="C15" s="2" t="inlineStr">
        <is>
          <t>AiTranslationModule</t>
        </is>
      </c>
      <c r="D15" s="2" t="inlineStr">
        <is>
          <t>AI Native — Dịch Thuật Khảo Sát Đa Ngôn Ngữ</t>
        </is>
      </c>
      <c r="E15" s="9" t="inlineStr">
        <is>
          <t>AI-TRANS-05</t>
        </is>
      </c>
      <c r="F15" s="11" t="inlineStr">
        <is>
          <t>UT_AI_DichThuat</t>
        </is>
      </c>
      <c r="G15" s="10" t="inlineStr">
        <is>
          <t>Tính năng AI Native Dịch Thuật: Tự động dịch toàn bộ câu hỏi, lựa chọn</t>
        </is>
      </c>
      <c r="H15" s="10" t="inlineStr">
        <is>
          <t>Form khảo sát gốc đã có câu hỏi, tài khoản có</t>
        </is>
      </c>
    </row>
    <row r="16">
      <c r="A16" s="9" t="n">
        <v>6</v>
      </c>
      <c r="B16" s="10" t="inlineStr">
        <is>
          <t>Kiểm tra độ chính xác phân loại cảm xúc, tự đ</t>
        </is>
      </c>
      <c r="C16" s="2" t="inlineStr">
        <is>
          <t>AiInsightsTopicModule</t>
        </is>
      </c>
      <c r="D16" s="2" t="inlineStr">
        <is>
          <t>AI Native — Phân Tích Cảm Xúc &amp; Cây Chủ Đề Topic/S</t>
        </is>
      </c>
      <c r="E16" s="9" t="inlineStr">
        <is>
          <t>AI-TOPIC-06</t>
        </is>
      </c>
      <c r="F16" s="11" t="inlineStr">
        <is>
          <t>UT_AI_PhanTich_CamXuc</t>
        </is>
      </c>
      <c r="G16" s="10" t="inlineStr">
        <is>
          <t>Tính năng AI Native Insights: Tự động phân tích cảm xúc (Tích cực / Ti</t>
        </is>
      </c>
      <c r="H16" s="10" t="inlineStr">
        <is>
          <t>Khảo sát đã thu thập các phản hồi dạng văn bả</t>
        </is>
      </c>
    </row>
    <row r="17">
      <c r="A17" s="9" t="n">
        <v>7</v>
      </c>
      <c r="B17" s="10" t="inlineStr">
        <is>
          <t>Kiểm tra ghi nhận phản hồi, xuất báo cáo dữ l</t>
        </is>
      </c>
      <c r="C17" s="2" t="inlineStr">
        <is>
          <t>ResponsePipelineModule</t>
        </is>
      </c>
      <c r="D17" s="2" t="inlineStr">
        <is>
          <t>Phản Hồi, Xuất File &amp; Pipeline Tự Động</t>
        </is>
      </c>
      <c r="E17" s="9" t="inlineStr">
        <is>
          <t>RESP-PIPE-07</t>
        </is>
      </c>
      <c r="F17" s="11" t="inlineStr">
        <is>
          <t>UT_PhanHoi_Pipeline</t>
        </is>
      </c>
      <c r="G17" s="10" t="inlineStr">
        <is>
          <t>Xử lý phản hồi người dùng: lưu trữ câu trả lời, xuất file báo cáo CSV/</t>
        </is>
      </c>
      <c r="H17" s="10" t="inlineStr">
        <is>
          <t>Khảo sát đang công khai nhận phản hồi</t>
        </is>
      </c>
    </row>
    <row r="18">
      <c r="A18" s="9" t="n">
        <v>8</v>
      </c>
      <c r="B18" s="10" t="inlineStr">
        <is>
          <t>Kiểm tra vòng đời Workspace, Tổ chức, phân qu</t>
        </is>
      </c>
      <c r="C18" s="2" t="inlineStr">
        <is>
          <t>WorkspaceOrgModule</t>
        </is>
      </c>
      <c r="D18" s="2" t="inlineStr">
        <is>
          <t>Quản Lý Workspace, Tổ Chức &amp; Phân Quyền</t>
        </is>
      </c>
      <c r="E18" s="9" t="inlineStr">
        <is>
          <t>WKSP-ORG-08</t>
        </is>
      </c>
      <c r="F18" s="11" t="inlineStr">
        <is>
          <t>UT_Workspace_Org</t>
        </is>
      </c>
      <c r="G18" s="10" t="inlineStr">
        <is>
          <t xml:space="preserve">Quản lý môi trường làm việc: Tạo/Sửa/Xóa Workspace, Quản lý thẻ Tags, </t>
        </is>
      </c>
      <c r="H18" s="10" t="inlineStr">
        <is>
          <t>Đã đăng nhập tài khoản hệ thống</t>
        </is>
      </c>
    </row>
    <row r="19">
      <c r="A19" s="9" t="n">
        <v>9</v>
      </c>
      <c r="B19" s="10" t="inlineStr">
        <is>
          <t>Kiểm tra tính đúng đắn của API endpoints, tải</t>
        </is>
      </c>
      <c r="C19" s="2" t="inlineStr">
        <is>
          <t>ApiStorageModule</t>
        </is>
      </c>
      <c r="D19" s="2" t="inlineStr">
        <is>
          <t>REST API, Client SDK, MCP Server &amp; Lưu Trữ File</t>
        </is>
      </c>
      <c r="E19" s="9" t="inlineStr">
        <is>
          <t>API-STGE-09</t>
        </is>
      </c>
      <c r="F19" s="11" t="inlineStr">
        <is>
          <t>UT_API_Storage</t>
        </is>
      </c>
      <c r="G19" s="10" t="inlineStr">
        <is>
          <t>Giao diện lập trình ứng dụng &amp; Lưu trữ: Các Endpoint REST API v1/v3, T</t>
        </is>
      </c>
      <c r="H19" s="10" t="inlineStr">
        <is>
          <t xml:space="preserve">Hệ thống backend đang chạy, API Key được cấp </t>
        </is>
      </c>
    </row>
    <row r="20">
      <c r="A20" s="9" t="n">
        <v>10</v>
      </c>
      <c r="B20" s="10" t="inlineStr">
        <is>
          <t>Kiểm tra việc gửi các loại mẫu email hệ thống</t>
        </is>
      </c>
      <c r="C20" s="2" t="inlineStr">
        <is>
          <t>SystemEmailModule</t>
        </is>
      </c>
      <c r="D20" s="2" t="inlineStr">
        <is>
          <t>Gửi Email Thông Báo &amp; Mẫu Thư Hệ Thống</t>
        </is>
      </c>
      <c r="E20" s="9" t="inlineStr">
        <is>
          <t>EMAIL-SYS-10</t>
        </is>
      </c>
      <c r="F20" s="11" t="inlineStr">
        <is>
          <t>UT_Email_HeThong</t>
        </is>
      </c>
      <c r="G20" s="10" t="inlineStr">
        <is>
          <t>Quản lý thông báo email: Gửi mail xác nhận tài khoản, Đặt lại mật khẩu</t>
        </is>
      </c>
      <c r="H20" s="10" t="inlineStr">
        <is>
          <t>Dịch vụ SMTP đã được kết nối và cấu hình chín</t>
        </is>
      </c>
    </row>
  </sheetData>
  <mergeCells count="8">
    <mergeCell ref="D7:H7"/>
    <mergeCell ref="A5:C5"/>
    <mergeCell ref="D2:H2"/>
    <mergeCell ref="A6:C6"/>
    <mergeCell ref="D5:H5"/>
    <mergeCell ref="A7:C7"/>
    <mergeCell ref="D4:H4"/>
    <mergeCell ref="A4:C4"/>
  </mergeCells>
  <hyperlinks>
    <hyperlink xmlns:r="http://schemas.openxmlformats.org/officeDocument/2006/relationships" ref="F11" r:id="rId1"/>
    <hyperlink xmlns:r="http://schemas.openxmlformats.org/officeDocument/2006/relationships" ref="F12" r:id="rId2"/>
    <hyperlink xmlns:r="http://schemas.openxmlformats.org/officeDocument/2006/relationships" ref="F13" r:id="rId3"/>
    <hyperlink xmlns:r="http://schemas.openxmlformats.org/officeDocument/2006/relationships" ref="F14" r:id="rId4"/>
    <hyperlink xmlns:r="http://schemas.openxmlformats.org/officeDocument/2006/relationships" ref="F15" r:id="rId5"/>
    <hyperlink xmlns:r="http://schemas.openxmlformats.org/officeDocument/2006/relationships" ref="F16" r:id="rId6"/>
    <hyperlink xmlns:r="http://schemas.openxmlformats.org/officeDocument/2006/relationships" ref="F17" r:id="rId7"/>
    <hyperlink xmlns:r="http://schemas.openxmlformats.org/officeDocument/2006/relationships" ref="F18" r:id="rId8"/>
    <hyperlink xmlns:r="http://schemas.openxmlformats.org/officeDocument/2006/relationships" ref="F19" r:id="rId9"/>
    <hyperlink xmlns:r="http://schemas.openxmlformats.org/officeDocument/2006/relationships" ref="F20"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6" customWidth="1" min="1" max="1"/>
    <col width="28" customWidth="1" min="2" max="2"/>
    <col width="12" customWidth="1" min="3" max="3"/>
    <col width="12" customWidth="1" min="4" max="4"/>
    <col width="14" customWidth="1" min="5" max="5"/>
    <col width="10" customWidth="1" min="6" max="6"/>
    <col width="10" customWidth="1" min="7" max="7"/>
    <col width="10" customWidth="1" min="8" max="8"/>
    <col width="16" customWidth="1" min="9" max="9"/>
  </cols>
  <sheetData>
    <row r="1">
      <c r="A1" s="1" t="inlineStr">
        <is>
          <t>BÁO CÁO TỔNG HỢP KẾT QUẢ KIỂM THỬ (TEST REPORT DASHBOARD)</t>
        </is>
      </c>
      <c r="B1" s="7" t="n"/>
      <c r="C1" s="7" t="n"/>
      <c r="D1" s="7" t="n"/>
      <c r="E1" s="7" t="n"/>
      <c r="F1" s="7" t="n"/>
      <c r="G1" s="7" t="n"/>
      <c r="H1" s="7" t="n"/>
      <c r="I1" s="8" t="n"/>
    </row>
    <row r="3">
      <c r="A3" s="5" t="inlineStr">
        <is>
          <t>Project Name</t>
        </is>
      </c>
      <c r="B3" s="2" t="inlineStr">
        <is>
          <t>Formbricks Platform &amp; AI-Lab</t>
        </is>
      </c>
      <c r="D3" s="5" t="inlineStr">
        <is>
          <t>Creator</t>
        </is>
      </c>
      <c r="E3" s="2" t="inlineStr">
        <is>
          <t>QA Team</t>
        </is>
      </c>
    </row>
    <row r="4">
      <c r="A4" s="5" t="inlineStr">
        <is>
          <t>Project Code</t>
        </is>
      </c>
      <c r="B4" s="2" t="inlineStr">
        <is>
          <t>FB-AUT-AI</t>
        </is>
      </c>
      <c r="D4" s="5" t="inlineStr">
        <is>
          <t>Reviewer</t>
        </is>
      </c>
      <c r="E4" s="2" t="inlineStr">
        <is>
          <t>Project Lead</t>
        </is>
      </c>
    </row>
    <row r="5">
      <c r="A5" s="5" t="inlineStr">
        <is>
          <t>Document Code</t>
        </is>
      </c>
      <c r="B5" s="2" t="inlineStr">
        <is>
          <t>FB-AUT-AI_Report_v3.5.0</t>
        </is>
      </c>
      <c r="D5" s="5" t="inlineStr">
        <is>
          <t>Issue Date</t>
        </is>
      </c>
      <c r="F5" s="2" t="inlineStr">
        <is>
          <t>2026-08-08</t>
        </is>
      </c>
    </row>
    <row r="7">
      <c r="A7" s="5" t="inlineStr">
        <is>
          <t>Ghi chú Báo cáo</t>
        </is>
      </c>
      <c r="B7" s="2" t="inlineStr">
        <is>
          <t>Báo cáo tự động tổng hợp kết quả 10 Module Core &amp; AI Native: Tạo thủ công, Import CSV Bank, AI Prompt, AI Chat, Dịch thuật AI, AI Topic Tree, Phản hồi, Workspace, API &amp; Mail.</t>
        </is>
      </c>
      <c r="C7" s="7" t="n"/>
      <c r="D7" s="7" t="n"/>
      <c r="E7" s="7" t="n"/>
      <c r="F7" s="7" t="n"/>
      <c r="G7" s="7" t="n"/>
      <c r="H7" s="7" t="n"/>
      <c r="I7" s="8" t="n"/>
    </row>
    <row r="11">
      <c r="A11" s="6" t="inlineStr">
        <is>
          <t>STT</t>
        </is>
      </c>
      <c r="B11" s="6" t="inlineStr">
        <is>
          <t>Function Code (Mã &amp; Sheet)</t>
        </is>
      </c>
      <c r="C11" s="6" t="inlineStr">
        <is>
          <t>Passed (Đạt)</t>
        </is>
      </c>
      <c r="D11" s="6" t="inlineStr">
        <is>
          <t>Failed (Lỗi)</t>
        </is>
      </c>
      <c r="E11" s="6" t="inlineStr">
        <is>
          <t>Untested (Chưa test)</t>
        </is>
      </c>
      <c r="F11" s="6" t="inlineStr">
        <is>
          <t>N (Normal)</t>
        </is>
      </c>
      <c r="G11" s="6" t="inlineStr">
        <is>
          <t>A (Abnormal)</t>
        </is>
      </c>
      <c r="H11" s="6" t="inlineStr">
        <is>
          <t>B (Boundary)</t>
        </is>
      </c>
      <c r="I11" s="6" t="inlineStr">
        <is>
          <t>Total Test Cases</t>
        </is>
      </c>
    </row>
    <row r="12">
      <c r="A12" s="9" t="n">
        <v>1</v>
      </c>
      <c r="B12" s="11" t="inlineStr">
        <is>
          <t>UT_KS_ThuCong</t>
        </is>
      </c>
      <c r="C12" s="9">
        <f>COUNTIF('UT_KS_ThuCong'!F22:T22,"Passed")</f>
        <v/>
      </c>
      <c r="D12" s="9">
        <f>COUNTIF('UT_KS_ThuCong'!F22:T22,"Failed")</f>
        <v/>
      </c>
      <c r="E12" s="9">
        <f>15-C12-D12</f>
        <v/>
      </c>
      <c r="F12" s="9">
        <f>COUNTIF('UT_KS_ThuCong'!F21:T21,"N")</f>
        <v/>
      </c>
      <c r="G12" s="9">
        <f>COUNTIF('UT_KS_ThuCong'!F21:T21,"A")</f>
        <v/>
      </c>
      <c r="H12" s="9">
        <f>COUNTIF('UT_KS_ThuCong'!F21:T21,"B")</f>
        <v/>
      </c>
      <c r="I12" s="12" t="n">
        <v>15</v>
      </c>
    </row>
    <row r="13">
      <c r="A13" s="9" t="n">
        <v>2</v>
      </c>
      <c r="B13" s="11" t="inlineStr">
        <is>
          <t>UT_Import_CSV_Bank</t>
        </is>
      </c>
      <c r="C13" s="9">
        <f>COUNTIF('UT_Import_CSV_Bank'!F22:T22,"Passed")</f>
        <v/>
      </c>
      <c r="D13" s="9">
        <f>COUNTIF('UT_Import_CSV_Bank'!F22:T22,"Failed")</f>
        <v/>
      </c>
      <c r="E13" s="9">
        <f>15-C13-D13</f>
        <v/>
      </c>
      <c r="F13" s="9">
        <f>COUNTIF('UT_Import_CSV_Bank'!F21:T21,"N")</f>
        <v/>
      </c>
      <c r="G13" s="9">
        <f>COUNTIF('UT_Import_CSV_Bank'!F21:T21,"A")</f>
        <v/>
      </c>
      <c r="H13" s="9">
        <f>COUNTIF('UT_Import_CSV_Bank'!F21:T21,"B")</f>
        <v/>
      </c>
      <c r="I13" s="12" t="n">
        <v>15</v>
      </c>
    </row>
    <row r="14">
      <c r="A14" s="9" t="n">
        <v>3</v>
      </c>
      <c r="B14" s="11" t="inlineStr">
        <is>
          <t>UT_AI_TaoForm_Prompt</t>
        </is>
      </c>
      <c r="C14" s="9">
        <f>COUNTIF('UT_AI_TaoForm_Prompt'!F22:T22,"Passed")</f>
        <v/>
      </c>
      <c r="D14" s="9">
        <f>COUNTIF('UT_AI_TaoForm_Prompt'!F22:T22,"Failed")</f>
        <v/>
      </c>
      <c r="E14" s="9">
        <f>15-C14-D14</f>
        <v/>
      </c>
      <c r="F14" s="9">
        <f>COUNTIF('UT_AI_TaoForm_Prompt'!F21:T21,"N")</f>
        <v/>
      </c>
      <c r="G14" s="9">
        <f>COUNTIF('UT_AI_TaoForm_Prompt'!F21:T21,"A")</f>
        <v/>
      </c>
      <c r="H14" s="9">
        <f>COUNTIF('UT_AI_TaoForm_Prompt'!F21:T21,"B")</f>
        <v/>
      </c>
      <c r="I14" s="12" t="n">
        <v>15</v>
      </c>
    </row>
    <row r="15">
      <c r="A15" s="9" t="n">
        <v>4</v>
      </c>
      <c r="B15" s="11" t="inlineStr">
        <is>
          <t>UT_AI_Chat_Result</t>
        </is>
      </c>
      <c r="C15" s="9">
        <f>COUNTIF('UT_AI_Chat_Result'!F22:Q22,"Passed")</f>
        <v/>
      </c>
      <c r="D15" s="9">
        <f>COUNTIF('UT_AI_Chat_Result'!F22:Q22,"Failed")</f>
        <v/>
      </c>
      <c r="E15" s="9">
        <f>12-C15-D15</f>
        <v/>
      </c>
      <c r="F15" s="9">
        <f>COUNTIF('UT_AI_Chat_Result'!F21:Q21,"N")</f>
        <v/>
      </c>
      <c r="G15" s="9">
        <f>COUNTIF('UT_AI_Chat_Result'!F21:Q21,"A")</f>
        <v/>
      </c>
      <c r="H15" s="9">
        <f>COUNTIF('UT_AI_Chat_Result'!F21:Q21,"B")</f>
        <v/>
      </c>
      <c r="I15" s="12" t="n">
        <v>12</v>
      </c>
    </row>
    <row r="16">
      <c r="A16" s="9" t="n">
        <v>5</v>
      </c>
      <c r="B16" s="11" t="inlineStr">
        <is>
          <t>UT_AI_DichThuat</t>
        </is>
      </c>
      <c r="C16" s="9">
        <f>COUNTIF('UT_AI_DichThuat'!F22:Q22,"Passed")</f>
        <v/>
      </c>
      <c r="D16" s="9">
        <f>COUNTIF('UT_AI_DichThuat'!F22:Q22,"Failed")</f>
        <v/>
      </c>
      <c r="E16" s="9">
        <f>12-C16-D16</f>
        <v/>
      </c>
      <c r="F16" s="9">
        <f>COUNTIF('UT_AI_DichThuat'!F21:Q21,"N")</f>
        <v/>
      </c>
      <c r="G16" s="9">
        <f>COUNTIF('UT_AI_DichThuat'!F21:Q21,"A")</f>
        <v/>
      </c>
      <c r="H16" s="9">
        <f>COUNTIF('UT_AI_DichThuat'!F21:Q21,"B")</f>
        <v/>
      </c>
      <c r="I16" s="12" t="n">
        <v>12</v>
      </c>
    </row>
    <row r="17">
      <c r="A17" s="9" t="n">
        <v>6</v>
      </c>
      <c r="B17" s="11" t="inlineStr">
        <is>
          <t>UT_AI_PhanTich_CamXuc</t>
        </is>
      </c>
      <c r="C17" s="9">
        <f>COUNTIF('UT_AI_PhanTich_CamXuc'!F22:T22,"Passed")</f>
        <v/>
      </c>
      <c r="D17" s="9">
        <f>COUNTIF('UT_AI_PhanTich_CamXuc'!F22:T22,"Failed")</f>
        <v/>
      </c>
      <c r="E17" s="9">
        <f>15-C17-D17</f>
        <v/>
      </c>
      <c r="F17" s="9">
        <f>COUNTIF('UT_AI_PhanTich_CamXuc'!F21:T21,"N")</f>
        <v/>
      </c>
      <c r="G17" s="9">
        <f>COUNTIF('UT_AI_PhanTich_CamXuc'!F21:T21,"A")</f>
        <v/>
      </c>
      <c r="H17" s="9">
        <f>COUNTIF('UT_AI_PhanTich_CamXuc'!F21:T21,"B")</f>
        <v/>
      </c>
      <c r="I17" s="12" t="n">
        <v>15</v>
      </c>
    </row>
    <row r="18">
      <c r="A18" s="9" t="n">
        <v>7</v>
      </c>
      <c r="B18" s="11" t="inlineStr">
        <is>
          <t>UT_PhanHoi_Pipeline</t>
        </is>
      </c>
      <c r="C18" s="9">
        <f>COUNTIF('UT_PhanHoi_Pipeline'!F22:T22,"Passed")</f>
        <v/>
      </c>
      <c r="D18" s="9">
        <f>COUNTIF('UT_PhanHoi_Pipeline'!F22:T22,"Failed")</f>
        <v/>
      </c>
      <c r="E18" s="9">
        <f>15-C18-D18</f>
        <v/>
      </c>
      <c r="F18" s="9">
        <f>COUNTIF('UT_PhanHoi_Pipeline'!F21:T21,"N")</f>
        <v/>
      </c>
      <c r="G18" s="9">
        <f>COUNTIF('UT_PhanHoi_Pipeline'!F21:T21,"A")</f>
        <v/>
      </c>
      <c r="H18" s="9">
        <f>COUNTIF('UT_PhanHoi_Pipeline'!F21:T21,"B")</f>
        <v/>
      </c>
      <c r="I18" s="12" t="n">
        <v>15</v>
      </c>
    </row>
    <row r="19">
      <c r="A19" s="9" t="n">
        <v>8</v>
      </c>
      <c r="B19" s="11" t="inlineStr">
        <is>
          <t>UT_Workspace_Org</t>
        </is>
      </c>
      <c r="C19" s="9">
        <f>COUNTIF('UT_Workspace_Org'!F22:T22,"Passed")</f>
        <v/>
      </c>
      <c r="D19" s="9">
        <f>COUNTIF('UT_Workspace_Org'!F22:T22,"Failed")</f>
        <v/>
      </c>
      <c r="E19" s="9">
        <f>15-C19-D19</f>
        <v/>
      </c>
      <c r="F19" s="9">
        <f>COUNTIF('UT_Workspace_Org'!F21:T21,"N")</f>
        <v/>
      </c>
      <c r="G19" s="9">
        <f>COUNTIF('UT_Workspace_Org'!F21:T21,"A")</f>
        <v/>
      </c>
      <c r="H19" s="9">
        <f>COUNTIF('UT_Workspace_Org'!F21:T21,"B")</f>
        <v/>
      </c>
      <c r="I19" s="12" t="n">
        <v>15</v>
      </c>
    </row>
    <row r="20">
      <c r="A20" s="9" t="n">
        <v>9</v>
      </c>
      <c r="B20" s="11" t="inlineStr">
        <is>
          <t>UT_API_Storage</t>
        </is>
      </c>
      <c r="C20" s="9">
        <f>COUNTIF('UT_API_Storage'!F22:T22,"Passed")</f>
        <v/>
      </c>
      <c r="D20" s="9">
        <f>COUNTIF('UT_API_Storage'!F22:T22,"Failed")</f>
        <v/>
      </c>
      <c r="E20" s="9">
        <f>15-C20-D20</f>
        <v/>
      </c>
      <c r="F20" s="9">
        <f>COUNTIF('UT_API_Storage'!F21:T21,"N")</f>
        <v/>
      </c>
      <c r="G20" s="9">
        <f>COUNTIF('UT_API_Storage'!F21:T21,"A")</f>
        <v/>
      </c>
      <c r="H20" s="9">
        <f>COUNTIF('UT_API_Storage'!F21:T21,"B")</f>
        <v/>
      </c>
      <c r="I20" s="12" t="n">
        <v>15</v>
      </c>
    </row>
    <row r="21">
      <c r="A21" s="9" t="n">
        <v>10</v>
      </c>
      <c r="B21" s="11" t="inlineStr">
        <is>
          <t>UT_Email_HeThong</t>
        </is>
      </c>
      <c r="C21" s="9">
        <f>COUNTIF('UT_Email_HeThong'!F22:Q22,"Passed")</f>
        <v/>
      </c>
      <c r="D21" s="9">
        <f>COUNTIF('UT_Email_HeThong'!F22:Q22,"Failed")</f>
        <v/>
      </c>
      <c r="E21" s="9">
        <f>12-C21-D21</f>
        <v/>
      </c>
      <c r="F21" s="9">
        <f>COUNTIF('UT_Email_HeThong'!F21:Q21,"N")</f>
        <v/>
      </c>
      <c r="G21" s="9">
        <f>COUNTIF('UT_Email_HeThong'!F21:Q21,"A")</f>
        <v/>
      </c>
      <c r="H21" s="9">
        <f>COUNTIF('UT_Email_HeThong'!F21:Q21,"B")</f>
        <v/>
      </c>
      <c r="I21" s="12" t="n">
        <v>12</v>
      </c>
    </row>
    <row r="23">
      <c r="B23" s="5" t="inlineStr">
        <is>
          <t>TỔNG CỘNG (SUB TOTAL)</t>
        </is>
      </c>
      <c r="C23" s="13">
        <f>SUM(C12:C22)</f>
        <v/>
      </c>
      <c r="D23" s="13">
        <f>SUM(D12:D22)</f>
        <v/>
      </c>
      <c r="E23" s="13">
        <f>SUM(E12:E22)</f>
        <v/>
      </c>
      <c r="F23" s="13">
        <f>SUM(F12:F22)</f>
        <v/>
      </c>
      <c r="G23" s="13">
        <f>SUM(G12:G22)</f>
        <v/>
      </c>
      <c r="H23" s="13">
        <f>SUM(H12:H22)</f>
        <v/>
      </c>
      <c r="I23" s="13">
        <f>SUM(I12:I22)</f>
        <v/>
      </c>
    </row>
    <row r="25">
      <c r="B25" s="14" t="inlineStr">
        <is>
          <t>Tỷ lệ Phủ sóng kiểm thử (Test coverage)</t>
        </is>
      </c>
      <c r="D25" s="15">
        <f>IF(I23&gt;0,(C23+D23)/I23,0)</f>
        <v/>
      </c>
      <c r="E25" s="2" t="inlineStr">
        <is>
          <t>%</t>
        </is>
      </c>
    </row>
    <row r="26">
      <c r="B26" s="14" t="inlineStr">
        <is>
          <t>Tỷ lệ Kiểm thử Thành công (Successful coverage)</t>
        </is>
      </c>
      <c r="D26" s="15">
        <f>IF(I23&gt;0,C23/I23,0)</f>
        <v/>
      </c>
      <c r="E26" s="2" t="inlineStr">
        <is>
          <t>%</t>
        </is>
      </c>
    </row>
    <row r="27">
      <c r="B27" s="14" t="inlineStr">
        <is>
          <t>Tỷ lệ kịch bản Bình thường (Normal case %)</t>
        </is>
      </c>
      <c r="D27" s="15">
        <f>IF(I23&gt;0,F23/I23,0)</f>
        <v/>
      </c>
    </row>
    <row r="28">
      <c r="B28" s="14" t="inlineStr">
        <is>
          <t>Tỷ lệ kịch bản Bất thường (Abnormal case %)</t>
        </is>
      </c>
      <c r="D28" s="15">
        <f>IF(I23&gt;0,G23/I23,0)</f>
        <v/>
      </c>
    </row>
    <row r="29">
      <c r="B29" s="14" t="inlineStr">
        <is>
          <t>Tỷ lệ kịch bản Giá trị biên (Boundary case %)</t>
        </is>
      </c>
      <c r="D29" s="15">
        <f>IF(I23&gt;0,H23/I23,0)</f>
        <v/>
      </c>
    </row>
  </sheetData>
  <mergeCells count="2">
    <mergeCell ref="A1:I1"/>
    <mergeCell ref="B7:I7"/>
  </mergeCells>
  <hyperlinks>
    <hyperlink xmlns:r="http://schemas.openxmlformats.org/officeDocument/2006/relationships" ref="B12" r:id="rId1"/>
    <hyperlink xmlns:r="http://schemas.openxmlformats.org/officeDocument/2006/relationships" ref="B13" r:id="rId2"/>
    <hyperlink xmlns:r="http://schemas.openxmlformats.org/officeDocument/2006/relationships" ref="B14" r:id="rId3"/>
    <hyperlink xmlns:r="http://schemas.openxmlformats.org/officeDocument/2006/relationships" ref="B15" r:id="rId4"/>
    <hyperlink xmlns:r="http://schemas.openxmlformats.org/officeDocument/2006/relationships" ref="B16" r:id="rId5"/>
    <hyperlink xmlns:r="http://schemas.openxmlformats.org/officeDocument/2006/relationships" ref="B17" r:id="rId6"/>
    <hyperlink xmlns:r="http://schemas.openxmlformats.org/officeDocument/2006/relationships" ref="B18" r:id="rId7"/>
    <hyperlink xmlns:r="http://schemas.openxmlformats.org/officeDocument/2006/relationships" ref="B19" r:id="rId8"/>
    <hyperlink xmlns:r="http://schemas.openxmlformats.org/officeDocument/2006/relationships" ref="B20" r:id="rId9"/>
    <hyperlink xmlns:r="http://schemas.openxmlformats.org/officeDocument/2006/relationships" ref="B21" r:id="rId10"/>
  </hyperlinks>
  <pageMargins left="0.75" right="0.75" top="1" bottom="1" header="0.5" footer="0.5"/>
  <drawing xmlns:r="http://schemas.openxmlformats.org/officeDocument/2006/relationships" r:id="rId11"/>
</worksheet>
</file>

<file path=xl/worksheets/sheet5.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cols>
    <col width="14" customWidth="1" min="1" max="1"/>
    <col width="22" customWidth="1" min="2" max="2"/>
    <col width="10" customWidth="1" min="3" max="3"/>
    <col width="10" customWidth="1" min="4" max="4"/>
    <col width="8"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16" t="inlineStr">
        <is>
          <t>Function Code</t>
        </is>
      </c>
      <c r="B1" s="17" t="n"/>
      <c r="C1" s="18" t="inlineStr">
        <is>
          <t>SURV-MANUAL-01</t>
        </is>
      </c>
      <c r="D1" s="7" t="n"/>
      <c r="E1" s="8" t="n"/>
      <c r="F1" s="16" t="inlineStr">
        <is>
          <t>Function Name</t>
        </is>
      </c>
      <c r="G1" s="19" t="n"/>
      <c r="H1" s="19" t="n"/>
      <c r="I1" s="19" t="n"/>
      <c r="J1" s="19" t="n"/>
      <c r="K1" s="17" t="n"/>
      <c r="L1" s="18" t="inlineStr">
        <is>
          <t>Tạo &amp; Biên Tập Khảo Sát Thủ Công</t>
        </is>
      </c>
    </row>
    <row r="2" ht="22" customHeight="1">
      <c r="A2" s="6" t="inlineStr">
        <is>
          <t>Created By</t>
        </is>
      </c>
      <c r="B2" s="8" t="n"/>
      <c r="C2" s="20" t="inlineStr">
        <is>
          <t>Chuyên viên QA / Antigravity Team</t>
        </is>
      </c>
      <c r="D2" s="7" t="n"/>
      <c r="E2" s="8" t="n"/>
      <c r="F2" s="6" t="inlineStr">
        <is>
          <t>Executed By</t>
        </is>
      </c>
      <c r="G2" s="7" t="n"/>
      <c r="H2" s="7" t="n"/>
      <c r="I2" s="7" t="n"/>
      <c r="J2" s="7" t="n"/>
      <c r="K2" s="8" t="n"/>
    </row>
    <row r="3" ht="22" customHeight="1">
      <c r="A3" s="6" t="inlineStr">
        <is>
          <t>Lines of code</t>
        </is>
      </c>
      <c r="B3" s="8" t="n"/>
      <c r="C3" s="2" t="inlineStr">
        <is>
          <t>N/A</t>
        </is>
      </c>
      <c r="D3" s="7" t="n"/>
      <c r="E3" s="8" t="n"/>
      <c r="F3" s="6" t="inlineStr">
        <is>
          <t>Lack of test cases</t>
        </is>
      </c>
      <c r="G3" s="7" t="n"/>
      <c r="H3" s="7" t="n"/>
      <c r="I3" s="7" t="n"/>
      <c r="J3" s="7" t="n"/>
      <c r="K3" s="8" t="n"/>
      <c r="L3" s="2" t="n">
        <v>0</v>
      </c>
    </row>
    <row r="4" ht="22" customHeight="1">
      <c r="A4" s="6" t="inlineStr">
        <is>
          <t>Test requirement</t>
        </is>
      </c>
      <c r="B4" s="8" t="n"/>
      <c r="C4" s="2" t="inlineStr">
        <is>
          <t>Kiểm tra tính năng tạo khảo sát thủ công từng bước, câu hỏi đa dạng và logic rẽ nhánh</t>
        </is>
      </c>
      <c r="D4" s="7" t="n"/>
      <c r="E4" s="7" t="n"/>
      <c r="F4" s="7" t="n"/>
      <c r="G4" s="7" t="n"/>
      <c r="H4" s="7" t="n"/>
      <c r="I4" s="7" t="n"/>
      <c r="J4" s="7" t="n"/>
      <c r="K4" s="7" t="n"/>
      <c r="L4" s="7" t="n"/>
      <c r="M4" s="7" t="n"/>
      <c r="N4" s="7" t="n"/>
      <c r="O4" s="7" t="n"/>
      <c r="P4" s="7" t="n"/>
      <c r="Q4" s="7" t="n"/>
      <c r="R4" s="7" t="n"/>
      <c r="S4" s="7" t="n"/>
      <c r="T4" s="8" t="n"/>
    </row>
    <row r="5" ht="22" customHeight="1">
      <c r="A5" s="21" t="inlineStr">
        <is>
          <t>Passed</t>
        </is>
      </c>
      <c r="B5" s="8" t="n"/>
      <c r="C5" s="22" t="inlineStr">
        <is>
          <t>Failed</t>
        </is>
      </c>
      <c r="D5" s="7" t="n"/>
      <c r="E5" s="8" t="n"/>
      <c r="F5" s="23" t="inlineStr">
        <is>
          <t>Untested</t>
        </is>
      </c>
      <c r="G5" s="7" t="n"/>
      <c r="H5" s="7" t="n"/>
      <c r="I5" s="7" t="n"/>
      <c r="J5" s="7" t="n"/>
      <c r="K5" s="8" t="n"/>
      <c r="L5" s="13" t="inlineStr">
        <is>
          <t>N/A/B Case</t>
        </is>
      </c>
      <c r="M5" s="7" t="n"/>
      <c r="N5" s="8" t="n"/>
      <c r="O5" s="13" t="inlineStr">
        <is>
          <t>Total Test Cases</t>
        </is>
      </c>
    </row>
    <row r="6" ht="22" customHeight="1">
      <c r="A6" s="21">
        <f>COUNTIF(F22:T22,"Passed")</f>
        <v/>
      </c>
      <c r="B6" s="8" t="n"/>
      <c r="C6" s="22">
        <f>COUNTIF(F22:T22,"Failed")</f>
        <v/>
      </c>
      <c r="D6" s="7" t="n"/>
      <c r="E6" s="8" t="n"/>
      <c r="F6" s="23">
        <f>15-A6-C6</f>
        <v/>
      </c>
      <c r="G6" s="7" t="n"/>
      <c r="H6" s="7" t="n"/>
      <c r="I6" s="7" t="n"/>
      <c r="J6" s="7" t="n"/>
      <c r="K6" s="8" t="n"/>
      <c r="L6" s="9">
        <f>COUNTIF(F21:T21,"N")</f>
        <v/>
      </c>
      <c r="M6" s="9">
        <f>COUNTIF(F21:T21,"A")</f>
        <v/>
      </c>
      <c r="N6" s="9">
        <f>COUNTIF(F21:T21,"B")</f>
        <v/>
      </c>
      <c r="O6" s="12" t="n">
        <v>15</v>
      </c>
    </row>
    <row r="7" ht="22" customHeight="1"/>
    <row r="8" ht="70" customHeight="1">
      <c r="F8" s="24" t="inlineStr">
        <is>
          <t>UTCID01</t>
        </is>
      </c>
      <c r="G8" s="24" t="inlineStr">
        <is>
          <t>UTCID02</t>
        </is>
      </c>
      <c r="H8" s="24" t="inlineStr">
        <is>
          <t>UTCID03</t>
        </is>
      </c>
      <c r="I8" s="24" t="inlineStr">
        <is>
          <t>UTCID04</t>
        </is>
      </c>
      <c r="J8" s="24" t="inlineStr">
        <is>
          <t>UTCID05</t>
        </is>
      </c>
      <c r="K8" s="24" t="inlineStr">
        <is>
          <t>UTCID06</t>
        </is>
      </c>
      <c r="L8" s="24" t="inlineStr">
        <is>
          <t>UTCID07</t>
        </is>
      </c>
      <c r="M8" s="24" t="inlineStr">
        <is>
          <t>UTCID08</t>
        </is>
      </c>
      <c r="N8" s="24" t="inlineStr">
        <is>
          <t>UTCID09</t>
        </is>
      </c>
      <c r="O8" s="24" t="inlineStr">
        <is>
          <t>UTCID10</t>
        </is>
      </c>
      <c r="P8" s="24" t="inlineStr">
        <is>
          <t>UTCID11</t>
        </is>
      </c>
      <c r="Q8" s="24" t="inlineStr">
        <is>
          <t>UTCID12</t>
        </is>
      </c>
      <c r="R8" s="24" t="inlineStr">
        <is>
          <t>UTCID13</t>
        </is>
      </c>
      <c r="S8" s="24" t="inlineStr">
        <is>
          <t>UTCID14</t>
        </is>
      </c>
      <c r="T8" s="24" t="inlineStr">
        <is>
          <t>UTCID15</t>
        </is>
      </c>
    </row>
    <row r="9" ht="22" customHeight="1">
      <c r="A9" s="6" t="inlineStr">
        <is>
          <t>Condition
(Điều kiện)</t>
        </is>
      </c>
      <c r="B9" s="5" t="inlineStr">
        <is>
          <t>Input 1 (Dữ liệu vào)</t>
        </is>
      </c>
      <c r="F9" s="25" t="inlineStr">
        <is>
          <t>Tên khảo sát</t>
        </is>
      </c>
      <c r="G9" s="25" t="inlineStr">
        <is>
          <t>Thêm câu hỏi</t>
        </is>
      </c>
      <c r="H9" s="25" t="inlineStr">
        <is>
          <t>Thêm câu hỏi</t>
        </is>
      </c>
      <c r="I9" s="25" t="inlineStr">
        <is>
          <t>Thêm câu hỏi</t>
        </is>
      </c>
      <c r="J9" s="25" t="inlineStr">
        <is>
          <t>Thêm câu hỏi</t>
        </is>
      </c>
      <c r="K9" s="25" t="inlineStr">
        <is>
          <t>Thêm câu hỏi</t>
        </is>
      </c>
      <c r="L9" s="25" t="inlineStr">
        <is>
          <t>Cấu hình Logic</t>
        </is>
      </c>
      <c r="M9" s="25" t="inlineStr">
        <is>
          <t>Chế độ xem trước</t>
        </is>
      </c>
      <c r="N9" s="25" t="inlineStr">
        <is>
          <t>Xuất bản khảo sát</t>
        </is>
      </c>
      <c r="O9" s="25" t="inlineStr">
        <is>
          <t>Tên khảo sát</t>
        </is>
      </c>
      <c r="P9" s="25" t="inlineStr">
        <is>
          <t>Tên khảo sát</t>
        </is>
      </c>
      <c r="Q9" s="25" t="inlineStr">
        <is>
          <t>Tên khảo sát</t>
        </is>
      </c>
      <c r="R9" s="25" t="inlineStr">
        <is>
          <t>Cấu hình Logic</t>
        </is>
      </c>
      <c r="S9" s="25" t="inlineStr">
        <is>
          <t>Slug tùy chỉnh</t>
        </is>
      </c>
      <c r="T9" s="25" t="inlineStr">
        <is>
          <t>Lưu trữ khảo sát</t>
        </is>
      </c>
    </row>
    <row r="10" ht="22" customHeight="1">
      <c r="A10" s="26" t="n"/>
      <c r="F10" s="10" t="inlineStr">
        <is>
          <t>Khảo sát trải nghiệm dịch vụ</t>
        </is>
      </c>
      <c r="G10" s="10" t="inlineStr">
        <is>
          <t>NPS (0-10)</t>
        </is>
      </c>
      <c r="H10" s="10" t="inlineStr">
        <is>
          <t>Trắc nghiệm 1 lựa chọn</t>
        </is>
      </c>
      <c r="I10" s="10" t="inlineStr">
        <is>
          <t>Trắc nghiệm nhiều lựa chọn</t>
        </is>
      </c>
      <c r="J10" s="10" t="inlineStr">
        <is>
          <t>Đánh giá Sao (Rating)</t>
        </is>
      </c>
      <c r="K10" s="10" t="inlineStr">
        <is>
          <t>Tải file lên (File Upload)</t>
        </is>
      </c>
      <c r="L10" s="10" t="inlineStr">
        <is>
          <t>Nếu Q1 = 'Kém'</t>
        </is>
      </c>
      <c r="M10" s="10" t="inlineStr">
        <is>
          <t>Preview Desktop &amp; Mobile</t>
        </is>
      </c>
      <c r="N10" s="10" t="inlineStr">
        <is>
          <t>Bấm 'Xuất bản (Publish)'</t>
        </is>
      </c>
      <c r="O10" s="10" t="inlineStr">
        <is>
          <t>A</t>
        </is>
      </c>
      <c r="P10" s="10" t="inlineStr">
        <is>
          <t xml:space="preserve">Khảo sát Khảo sát Khảo sát Khảo sát Khảo sát Khảo sát Khảo sát Khảo sát Khảo sát Khảo sát Khảo sát Khảo sát Khảo sát Khảo sát Khảo sát Khảo sát Khảo sát Khảo sát Khảo sát Khảo sát Khảo sát Khảo sát Khảo sát Khảo sát Khảo sát Khảo sát Khảo sát Khảo sát Khảo sát Khảo sát </t>
        </is>
      </c>
      <c r="Q10" s="10" t="inlineStr">
        <is>
          <t>(để trống)</t>
        </is>
      </c>
      <c r="R10" s="10" t="inlineStr">
        <is>
          <t>Nếu Q1 = 'Bất kỳ'</t>
        </is>
      </c>
      <c r="S10" s="10" t="inlineStr">
        <is>
          <t>link-khao-sat-2026</t>
        </is>
      </c>
      <c r="T10" s="10" t="inlineStr">
        <is>
          <t>Bấm 'Lưu trữ (Archive)'</t>
        </is>
      </c>
    </row>
    <row r="11" ht="22" customHeight="1">
      <c r="A11" s="26" t="n"/>
    </row>
    <row r="12" ht="22" customHeight="1">
      <c r="A12" s="26" t="n"/>
      <c r="B12" s="5" t="inlineStr">
        <is>
          <t>Input 2 (Dữ liệu vào)</t>
        </is>
      </c>
      <c r="F12" s="25" t="inlineStr">
        <is>
          <t>Loại câu hỏi</t>
        </is>
      </c>
      <c r="G12" s="25" t="inlineStr">
        <is>
          <t>Nhãn điểm</t>
        </is>
      </c>
      <c r="H12" s="25" t="inlineStr">
        <is>
          <t>Danh sách đáp án</t>
        </is>
      </c>
      <c r="I12" s="25" t="inlineStr">
        <is>
          <t>Giới hạn chọn</t>
        </is>
      </c>
      <c r="J12" s="25" t="inlineStr">
        <is>
          <t>Thang điểm</t>
        </is>
      </c>
      <c r="K12" s="25" t="inlineStr">
        <is>
          <t>Dung lượng tối đa</t>
        </is>
      </c>
      <c r="L12" s="25" t="inlineStr">
        <is>
          <t>Hành động rẽ nhánh</t>
        </is>
      </c>
      <c r="M12" s="25" t="inlineStr">
        <is>
          <t>Thao tác</t>
        </is>
      </c>
      <c r="N12" s="25" t="inlineStr">
        <is>
          <t>ID Khảo sát</t>
        </is>
      </c>
      <c r="O12" s="25" t="inlineStr">
        <is>
          <t>Số câu hỏi</t>
        </is>
      </c>
      <c r="P12" s="25" t="inlineStr">
        <is>
          <t>Số câu hỏi</t>
        </is>
      </c>
      <c r="Q12" s="25" t="inlineStr">
        <is>
          <t>Số câu hỏi</t>
        </is>
      </c>
      <c r="R12" s="25" t="inlineStr">
        <is>
          <t>Hành động rẽ nhánh</t>
        </is>
      </c>
      <c r="S12" s="25" t="inlineStr">
        <is>
          <t>Hành động</t>
        </is>
      </c>
      <c r="T12" s="25" t="inlineStr">
        <is>
          <t>ID Khảo sát</t>
        </is>
      </c>
    </row>
    <row r="13" ht="22" customHeight="1">
      <c r="A13" s="26" t="n"/>
      <c r="F13" s="10" t="inlineStr">
        <is>
          <t>Văn bản mở (Open Text)</t>
        </is>
      </c>
      <c r="G13" s="10" t="inlineStr">
        <is>
          <t>0: Rất không hài lòng - 10: Rất hài lòng</t>
        </is>
      </c>
      <c r="H13" s="10" t="inlineStr">
        <is>
          <t>Tốt, Trung bình, Kém</t>
        </is>
      </c>
      <c r="I13" s="10" t="inlineStr">
        <is>
          <t>Tối đa 3 đáp án</t>
        </is>
      </c>
      <c r="J13" s="10" t="inlineStr">
        <is>
          <t>5 sao</t>
        </is>
      </c>
      <c r="K13" s="10" t="inlineStr">
        <is>
          <t>10 MB</t>
        </is>
      </c>
      <c r="L13" s="10" t="inlineStr">
        <is>
          <t>Chuyển hướng đến Q5 (Góp ý chi tiết)</t>
        </is>
      </c>
      <c r="M13" s="10" t="inlineStr">
        <is>
          <t>Bấm dùng thử form</t>
        </is>
      </c>
      <c r="N13" s="10" t="inlineStr">
        <is>
          <t>srv_manual_001</t>
        </is>
      </c>
      <c r="O13" s="10" t="inlineStr">
        <is>
          <t>1 câu mở</t>
        </is>
      </c>
      <c r="P13" s="10" t="inlineStr">
        <is>
          <t>50 câu hỏi</t>
        </is>
      </c>
      <c r="Q13" s="10" t="inlineStr">
        <is>
          <t>1 câu hỏi</t>
        </is>
      </c>
      <c r="R13" s="10" t="inlineStr">
        <is>
          <t>Chuyển đến câu hỏi đã bị xóa</t>
        </is>
      </c>
      <c r="S13" s="10" t="inlineStr">
        <is>
          <t>Lưu Slug</t>
        </is>
      </c>
      <c r="T13" s="10" t="inlineStr">
        <is>
          <t>srv_manual_001</t>
        </is>
      </c>
    </row>
    <row r="14" ht="22" customHeight="1">
      <c r="A14" s="27" t="n"/>
    </row>
    <row r="15" ht="22" customHeight="1">
      <c r="A15" s="6" t="inlineStr">
        <is>
          <t>Confirm
(Xác nhận)</t>
        </is>
      </c>
      <c r="B15" s="5" t="inlineStr">
        <is>
          <t>Kết quả</t>
        </is>
      </c>
      <c r="F15" s="10" t="inlineStr">
        <is>
          <t>Khảo sát được tạo ở dạng Bản Nháp (Draft)</t>
        </is>
      </c>
      <c r="G15" s="10" t="inlineStr">
        <is>
          <t>Thêm câu hỏi NPS thành công vào danh sách</t>
        </is>
      </c>
      <c r="H15" s="10" t="inlineStr">
        <is>
          <t>Thêm câu hỏi Single Choice thành công</t>
        </is>
      </c>
      <c r="I15" s="10" t="inlineStr">
        <is>
          <t>Thêm câu hỏi Multiple Choice thành công</t>
        </is>
      </c>
      <c r="J15" s="10" t="inlineStr">
        <is>
          <t>Thêm câu hỏi Rating 5 sao thành công</t>
        </is>
      </c>
      <c r="K15" s="10" t="inlineStr">
        <is>
          <t>Thêm câu hỏi Upload file thành công</t>
        </is>
      </c>
      <c r="L15" s="10" t="inlineStr">
        <is>
          <t>Lưu điều kiện rẽ nhánh thành công</t>
        </is>
      </c>
      <c r="M15" s="10" t="inlineStr">
        <is>
          <t>Form hiển thị chuẩn giao diện và rẽ nhánh đúng</t>
        </is>
      </c>
      <c r="N15" s="10" t="inlineStr">
        <is>
          <t>Trạng thái đổi thành đang chạy (inProgress), tạo Link công khai</t>
        </is>
      </c>
      <c r="O15" s="10" t="inlineStr">
        <is>
          <t>Tạo khảo sát thành công với tên 1 ký tự</t>
        </is>
      </c>
      <c r="P15" s="10" t="inlineStr">
        <is>
          <t>Tạo khảo sát thành công với tên và số lượng câu lớn</t>
        </is>
      </c>
      <c r="Q15" s="10" t="inlineStr"/>
      <c r="R15" s="10" t="inlineStr"/>
      <c r="S15" s="10" t="inlineStr">
        <is>
          <t>Đường dẫn form đổi thành /p/link-khao-sat-2026</t>
        </is>
      </c>
      <c r="T15" s="10" t="inlineStr">
        <is>
          <t>Khảo sát chuyển sang trạng thái Archived, ngưng nhận phản hồi</t>
        </is>
      </c>
    </row>
    <row r="16" ht="22" customHeight="1">
      <c r="A16" s="26" t="n"/>
    </row>
    <row r="17" ht="22" customHeight="1">
      <c r="A17" s="26" t="n"/>
      <c r="B17" s="5" t="inlineStr">
        <is>
          <t>Lỗi</t>
        </is>
      </c>
      <c r="F17" s="10" t="inlineStr"/>
      <c r="G17" s="10" t="inlineStr"/>
      <c r="H17" s="10" t="inlineStr"/>
      <c r="I17" s="10" t="inlineStr"/>
      <c r="J17" s="10" t="inlineStr"/>
      <c r="K17" s="10" t="inlineStr"/>
      <c r="L17" s="10" t="inlineStr"/>
      <c r="M17" s="10" t="inlineStr"/>
      <c r="N17" s="10" t="inlineStr"/>
      <c r="O17" s="10" t="inlineStr"/>
      <c r="P17" s="10" t="inlineStr"/>
      <c r="Q17" s="28" t="inlineStr">
        <is>
          <t>Tên khảo sát không được để trống</t>
        </is>
      </c>
      <c r="R17" s="28" t="inlineStr">
        <is>
          <t>Câu hỏi đích rẽ nhánh không tồn tại</t>
        </is>
      </c>
      <c r="S17" s="10" t="inlineStr"/>
      <c r="T17" s="10" t="inlineStr"/>
    </row>
    <row r="18" ht="22" customHeight="1">
      <c r="A18" s="26" t="n"/>
    </row>
    <row r="19" ht="22" customHeight="1">
      <c r="A19" s="26" t="n"/>
      <c r="B19" s="5" t="inlineStr">
        <is>
          <t>Log</t>
        </is>
      </c>
      <c r="F19" s="10" t="inlineStr">
        <is>
          <t>Survey created</t>
        </is>
      </c>
      <c r="G19" s="10" t="inlineStr">
        <is>
          <t>NPS question added</t>
        </is>
      </c>
      <c r="H19" s="10" t="inlineStr">
        <is>
          <t>Single choice added</t>
        </is>
      </c>
      <c r="I19" s="10" t="inlineStr">
        <is>
          <t>Multi choice added</t>
        </is>
      </c>
      <c r="J19" s="10" t="inlineStr">
        <is>
          <t>Rating added</t>
        </is>
      </c>
      <c r="K19" s="10" t="inlineStr">
        <is>
          <t>FileUpload added</t>
        </is>
      </c>
      <c r="L19" s="10" t="inlineStr">
        <is>
          <t>Logic branching saved</t>
        </is>
      </c>
      <c r="M19" s="10" t="inlineStr">
        <is>
          <t>Preview rendering OK</t>
        </is>
      </c>
      <c r="N19" s="10" t="inlineStr">
        <is>
          <t>Published OK</t>
        </is>
      </c>
      <c r="O19" s="10" t="inlineStr">
        <is>
          <t>Min length OK</t>
        </is>
      </c>
      <c r="P19" s="10" t="inlineStr">
        <is>
          <t>Max scale OK</t>
        </is>
      </c>
      <c r="Q19" s="10" t="inlineStr">
        <is>
          <t>Validation failed</t>
        </is>
      </c>
      <c r="R19" s="10" t="inlineStr">
        <is>
          <t>Invalid logic target</t>
        </is>
      </c>
      <c r="S19" s="10" t="inlineStr">
        <is>
          <t>Custom slug updated</t>
        </is>
      </c>
      <c r="T19" s="10" t="inlineStr">
        <is>
          <t>Archived OK</t>
        </is>
      </c>
    </row>
    <row r="20" ht="22" customHeight="1">
      <c r="A20" s="27" t="n"/>
    </row>
    <row r="21" ht="22" customHeight="1">
      <c r="A21" s="29" t="inlineStr">
        <is>
          <t>Result
(Kết quả)</t>
        </is>
      </c>
      <c r="B21" s="30" t="inlineStr">
        <is>
          <t>Type (N : Normal, A : Abnormal, B : Boundary)</t>
        </is>
      </c>
      <c r="C21" s="7" t="n"/>
      <c r="D21" s="7" t="n"/>
      <c r="E21" s="8" t="n"/>
      <c r="F21" s="21" t="inlineStr">
        <is>
          <t>N</t>
        </is>
      </c>
      <c r="G21" s="21" t="inlineStr">
        <is>
          <t>N</t>
        </is>
      </c>
      <c r="H21" s="21" t="inlineStr">
        <is>
          <t>N</t>
        </is>
      </c>
      <c r="I21" s="21" t="inlineStr">
        <is>
          <t>N</t>
        </is>
      </c>
      <c r="J21" s="21" t="inlineStr">
        <is>
          <t>N</t>
        </is>
      </c>
      <c r="K21" s="21" t="inlineStr">
        <is>
          <t>N</t>
        </is>
      </c>
      <c r="L21" s="21" t="inlineStr">
        <is>
          <t>N</t>
        </is>
      </c>
      <c r="M21" s="21" t="inlineStr">
        <is>
          <t>N</t>
        </is>
      </c>
      <c r="N21" s="21" t="inlineStr">
        <is>
          <t>N</t>
        </is>
      </c>
      <c r="O21" s="23" t="inlineStr">
        <is>
          <t>B</t>
        </is>
      </c>
      <c r="P21" s="23" t="inlineStr">
        <is>
          <t>B</t>
        </is>
      </c>
      <c r="Q21" s="22" t="inlineStr">
        <is>
          <t>A</t>
        </is>
      </c>
      <c r="R21" s="22" t="inlineStr">
        <is>
          <t>A</t>
        </is>
      </c>
      <c r="S21" s="21" t="inlineStr">
        <is>
          <t>N</t>
        </is>
      </c>
      <c r="T21" s="21" t="inlineStr">
        <is>
          <t>N</t>
        </is>
      </c>
    </row>
    <row r="22" ht="22" customHeight="1">
      <c r="A22" s="26" t="n"/>
      <c r="B22" s="30" t="inlineStr">
        <is>
          <t>Passed/Failed (Điền P hoặc F)</t>
        </is>
      </c>
      <c r="C22" s="7" t="n"/>
      <c r="D22" s="7" t="n"/>
      <c r="E22" s="8" t="n"/>
    </row>
    <row r="23" ht="22" customHeight="1">
      <c r="A23" s="26" t="n"/>
      <c r="B23" s="30" t="inlineStr">
        <is>
          <t>Executed Date (Ngày test)</t>
        </is>
      </c>
      <c r="C23" s="7" t="n"/>
      <c r="D23" s="7" t="n"/>
      <c r="E23" s="8" t="n"/>
    </row>
    <row r="24" ht="22" customHeight="1">
      <c r="A24" s="27" t="n"/>
      <c r="B24" s="30" t="inlineStr">
        <is>
          <t>Defect ID (Mã lỗi nếu có)</t>
        </is>
      </c>
      <c r="C24" s="7" t="n"/>
      <c r="D24" s="7" t="n"/>
      <c r="E24" s="8" t="n"/>
    </row>
  </sheetData>
  <mergeCells count="25">
    <mergeCell ref="C1:E1"/>
    <mergeCell ref="F5:K5"/>
    <mergeCell ref="A9:A14"/>
    <mergeCell ref="A15:A20"/>
    <mergeCell ref="L5:N5"/>
    <mergeCell ref="B24:E24"/>
    <mergeCell ref="A1:B1"/>
    <mergeCell ref="F2:K2"/>
    <mergeCell ref="A6:B6"/>
    <mergeCell ref="C2:E2"/>
    <mergeCell ref="A21:A24"/>
    <mergeCell ref="A3:B3"/>
    <mergeCell ref="B22:E22"/>
    <mergeCell ref="A2:B2"/>
    <mergeCell ref="B21:E21"/>
    <mergeCell ref="A5:B5"/>
    <mergeCell ref="F1:K1"/>
    <mergeCell ref="C3:E3"/>
    <mergeCell ref="C6:E6"/>
    <mergeCell ref="A4:B4"/>
    <mergeCell ref="B23:E23"/>
    <mergeCell ref="C5:E5"/>
    <mergeCell ref="F6:K6"/>
    <mergeCell ref="F3:K3"/>
    <mergeCell ref="C4:T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cols>
    <col width="14" customWidth="1" min="1" max="1"/>
    <col width="22" customWidth="1" min="2" max="2"/>
    <col width="10" customWidth="1" min="3" max="3"/>
    <col width="10" customWidth="1" min="4" max="4"/>
    <col width="8"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16" t="inlineStr">
        <is>
          <t>Function Code</t>
        </is>
      </c>
      <c r="B1" s="17" t="n"/>
      <c r="C1" s="18" t="inlineStr">
        <is>
          <t>SURV-CSV-02</t>
        </is>
      </c>
      <c r="D1" s="7" t="n"/>
      <c r="E1" s="8" t="n"/>
      <c r="F1" s="16" t="inlineStr">
        <is>
          <t>Function Name</t>
        </is>
      </c>
      <c r="G1" s="19" t="n"/>
      <c r="H1" s="19" t="n"/>
      <c r="I1" s="19" t="n"/>
      <c r="J1" s="19" t="n"/>
      <c r="K1" s="17" t="n"/>
      <c r="L1" s="18" t="inlineStr">
        <is>
          <t>Import CSV &amp; Ngân Hàng Câu Hỏi (Test Bank)</t>
        </is>
      </c>
    </row>
    <row r="2" ht="22" customHeight="1">
      <c r="A2" s="6" t="inlineStr">
        <is>
          <t>Created By</t>
        </is>
      </c>
      <c r="B2" s="8" t="n"/>
      <c r="C2" s="20" t="inlineStr">
        <is>
          <t>Chuyên viên QA / Antigravity Team</t>
        </is>
      </c>
      <c r="D2" s="7" t="n"/>
      <c r="E2" s="8" t="n"/>
      <c r="F2" s="6" t="inlineStr">
        <is>
          <t>Executed By</t>
        </is>
      </c>
      <c r="G2" s="7" t="n"/>
      <c r="H2" s="7" t="n"/>
      <c r="I2" s="7" t="n"/>
      <c r="J2" s="7" t="n"/>
      <c r="K2" s="8" t="n"/>
    </row>
    <row r="3" ht="22" customHeight="1">
      <c r="A3" s="6" t="inlineStr">
        <is>
          <t>Lines of code</t>
        </is>
      </c>
      <c r="B3" s="8" t="n"/>
      <c r="C3" s="2" t="inlineStr">
        <is>
          <t>N/A</t>
        </is>
      </c>
      <c r="D3" s="7" t="n"/>
      <c r="E3" s="8" t="n"/>
      <c r="F3" s="6" t="inlineStr">
        <is>
          <t>Lack of test cases</t>
        </is>
      </c>
      <c r="G3" s="7" t="n"/>
      <c r="H3" s="7" t="n"/>
      <c r="I3" s="7" t="n"/>
      <c r="J3" s="7" t="n"/>
      <c r="K3" s="8" t="n"/>
      <c r="L3" s="2" t="n">
        <v>0</v>
      </c>
    </row>
    <row r="4" ht="22" customHeight="1">
      <c r="A4" s="6" t="inlineStr">
        <is>
          <t>Test requirement</t>
        </is>
      </c>
      <c r="B4" s="8" t="n"/>
      <c r="C4" s="2" t="inlineStr">
        <is>
          <t>Kiểm tra tính năng đọc file CSV, validate schema, nạp ngân hàng câu hỏi và tạo form khảo sát</t>
        </is>
      </c>
      <c r="D4" s="7" t="n"/>
      <c r="E4" s="7" t="n"/>
      <c r="F4" s="7" t="n"/>
      <c r="G4" s="7" t="n"/>
      <c r="H4" s="7" t="n"/>
      <c r="I4" s="7" t="n"/>
      <c r="J4" s="7" t="n"/>
      <c r="K4" s="7" t="n"/>
      <c r="L4" s="7" t="n"/>
      <c r="M4" s="7" t="n"/>
      <c r="N4" s="7" t="n"/>
      <c r="O4" s="7" t="n"/>
      <c r="P4" s="7" t="n"/>
      <c r="Q4" s="7" t="n"/>
      <c r="R4" s="7" t="n"/>
      <c r="S4" s="7" t="n"/>
      <c r="T4" s="8" t="n"/>
    </row>
    <row r="5" ht="22" customHeight="1">
      <c r="A5" s="21" t="inlineStr">
        <is>
          <t>Passed</t>
        </is>
      </c>
      <c r="B5" s="8" t="n"/>
      <c r="C5" s="22" t="inlineStr">
        <is>
          <t>Failed</t>
        </is>
      </c>
      <c r="D5" s="7" t="n"/>
      <c r="E5" s="8" t="n"/>
      <c r="F5" s="23" t="inlineStr">
        <is>
          <t>Untested</t>
        </is>
      </c>
      <c r="G5" s="7" t="n"/>
      <c r="H5" s="7" t="n"/>
      <c r="I5" s="7" t="n"/>
      <c r="J5" s="7" t="n"/>
      <c r="K5" s="8" t="n"/>
      <c r="L5" s="13" t="inlineStr">
        <is>
          <t>N/A/B Case</t>
        </is>
      </c>
      <c r="M5" s="7" t="n"/>
      <c r="N5" s="8" t="n"/>
      <c r="O5" s="13" t="inlineStr">
        <is>
          <t>Total Test Cases</t>
        </is>
      </c>
    </row>
    <row r="6" ht="22" customHeight="1">
      <c r="A6" s="21">
        <f>COUNTIF(F22:T22,"Passed")</f>
        <v/>
      </c>
      <c r="B6" s="8" t="n"/>
      <c r="C6" s="22">
        <f>COUNTIF(F22:T22,"Failed")</f>
        <v/>
      </c>
      <c r="D6" s="7" t="n"/>
      <c r="E6" s="8" t="n"/>
      <c r="F6" s="23">
        <f>15-A6-C6</f>
        <v/>
      </c>
      <c r="G6" s="7" t="n"/>
      <c r="H6" s="7" t="n"/>
      <c r="I6" s="7" t="n"/>
      <c r="J6" s="7" t="n"/>
      <c r="K6" s="8" t="n"/>
      <c r="L6" s="9">
        <f>COUNTIF(F21:T21,"N")</f>
        <v/>
      </c>
      <c r="M6" s="9">
        <f>COUNTIF(F21:T21,"A")</f>
        <v/>
      </c>
      <c r="N6" s="9">
        <f>COUNTIF(F21:T21,"B")</f>
        <v/>
      </c>
      <c r="O6" s="12" t="n">
        <v>15</v>
      </c>
    </row>
    <row r="7" ht="22" customHeight="1"/>
    <row r="8" ht="70" customHeight="1">
      <c r="F8" s="24" t="inlineStr">
        <is>
          <t>UTCID01</t>
        </is>
      </c>
      <c r="G8" s="24" t="inlineStr">
        <is>
          <t>UTCID02</t>
        </is>
      </c>
      <c r="H8" s="24" t="inlineStr">
        <is>
          <t>UTCID03</t>
        </is>
      </c>
      <c r="I8" s="24" t="inlineStr">
        <is>
          <t>UTCID04</t>
        </is>
      </c>
      <c r="J8" s="24" t="inlineStr">
        <is>
          <t>UTCID05</t>
        </is>
      </c>
      <c r="K8" s="24" t="inlineStr">
        <is>
          <t>UTCID06</t>
        </is>
      </c>
      <c r="L8" s="24" t="inlineStr">
        <is>
          <t>UTCID07</t>
        </is>
      </c>
      <c r="M8" s="24" t="inlineStr">
        <is>
          <t>UTCID08</t>
        </is>
      </c>
      <c r="N8" s="24" t="inlineStr">
        <is>
          <t>UTCID09</t>
        </is>
      </c>
      <c r="O8" s="24" t="inlineStr">
        <is>
          <t>UTCID10</t>
        </is>
      </c>
      <c r="P8" s="24" t="inlineStr">
        <is>
          <t>UTCID11</t>
        </is>
      </c>
      <c r="Q8" s="24" t="inlineStr">
        <is>
          <t>UTCID12</t>
        </is>
      </c>
      <c r="R8" s="24" t="inlineStr">
        <is>
          <t>UTCID13</t>
        </is>
      </c>
      <c r="S8" s="24" t="inlineStr">
        <is>
          <t>UTCID14</t>
        </is>
      </c>
      <c r="T8" s="24" t="inlineStr">
        <is>
          <t>UTCID15</t>
        </is>
      </c>
    </row>
    <row r="9" ht="22" customHeight="1">
      <c r="A9" s="6" t="inlineStr">
        <is>
          <t>Condition
(Điều kiện)</t>
        </is>
      </c>
      <c r="B9" s="5" t="inlineStr">
        <is>
          <t>Input 1 (Dữ liệu vào)</t>
        </is>
      </c>
      <c r="F9" s="25" t="inlineStr">
        <is>
          <t>Tải file CSV</t>
        </is>
      </c>
      <c r="G9" s="25" t="inlineStr">
        <is>
          <t>Tải file Excel</t>
        </is>
      </c>
      <c r="H9" s="25" t="inlineStr">
        <is>
          <t>Kiểm tra Compiler</t>
        </is>
      </c>
      <c r="I9" s="25" t="inlineStr">
        <is>
          <t>Cam kết Import</t>
        </is>
      </c>
      <c r="J9" s="25" t="inlineStr">
        <is>
          <t>Ngân hàng câu hỏi</t>
        </is>
      </c>
      <c r="K9" s="25" t="inlineStr">
        <is>
          <t>Import tái sử dụng</t>
        </is>
      </c>
      <c r="L9" s="25" t="inlineStr">
        <is>
          <t>Tải file CSV</t>
        </is>
      </c>
      <c r="M9" s="25" t="inlineStr">
        <is>
          <t>Tải file CSV</t>
        </is>
      </c>
      <c r="N9" s="25" t="inlineStr">
        <is>
          <t>Tải file CSV</t>
        </is>
      </c>
      <c r="O9" s="25" t="inlineStr">
        <is>
          <t>Tải file</t>
        </is>
      </c>
      <c r="P9" s="25" t="inlineStr">
        <is>
          <t>Import CSV</t>
        </is>
      </c>
      <c r="Q9" s="25" t="inlineStr">
        <is>
          <t>Cam kết Import</t>
        </is>
      </c>
      <c r="R9" s="25" t="inlineStr">
        <is>
          <t>Tải file CSV</t>
        </is>
      </c>
      <c r="S9" s="25" t="inlineStr">
        <is>
          <t>Tạo Form từ Bank</t>
        </is>
      </c>
      <c r="T9" s="25" t="inlineStr">
        <is>
          <t>Xóa file đã nạp</t>
        </is>
      </c>
    </row>
    <row r="10" ht="22" customHeight="1">
      <c r="A10" s="26" t="n"/>
      <c r="F10" s="10" t="inlineStr">
        <is>
          <t>test_bank_standard.csv</t>
        </is>
      </c>
      <c r="G10" s="10" t="inlineStr">
        <is>
          <t>survey_questions.xlsx</t>
        </is>
      </c>
      <c r="H10" s="10" t="inlineStr">
        <is>
          <t>Chạy Compiler Compatibility Check</t>
        </is>
      </c>
      <c r="I10" s="10" t="inlineStr">
        <is>
          <t>Bấm 'Xác nhận tạo khảo sát'</t>
        </is>
      </c>
      <c r="J10" s="10" t="inlineStr">
        <is>
          <t>Lưu vào Test Bank Workspace</t>
        </is>
      </c>
      <c r="K10" s="10" t="inlineStr">
        <is>
          <t>Import trùng lặp cùng checksum</t>
        </is>
      </c>
      <c r="L10" s="10" t="inlineStr">
        <is>
          <t>test_bank_unicode.csv</t>
        </is>
      </c>
      <c r="M10" s="10" t="inlineStr">
        <is>
          <t>bank_large_100q.csv</t>
        </is>
      </c>
      <c r="N10" s="10" t="inlineStr">
        <is>
          <t>file_empty.csv</t>
        </is>
      </c>
      <c r="O10" s="10" t="inlineStr">
        <is>
          <t>corrupted_data.pdf</t>
        </is>
      </c>
      <c r="P10" s="10" t="inlineStr">
        <is>
          <t>file_missing_columns.csv</t>
        </is>
      </c>
      <c r="Q10" s="10" t="inlineStr">
        <is>
          <t>Checksum kỳ vọng bị sửa</t>
        </is>
      </c>
      <c r="R10" s="10" t="inlineStr">
        <is>
          <t>bank_with_warnings.csv</t>
        </is>
      </c>
      <c r="S10" s="10" t="inlineStr">
        <is>
          <t>Chọn 5 câu từ Test Bank</t>
        </is>
      </c>
      <c r="T10" s="10" t="inlineStr">
        <is>
          <t>Hủy lượt import hiện tại</t>
        </is>
      </c>
    </row>
    <row r="11" ht="22" customHeight="1">
      <c r="A11" s="26" t="n"/>
    </row>
    <row r="12" ht="22" customHeight="1">
      <c r="A12" s="26" t="n"/>
      <c r="B12" s="5" t="inlineStr">
        <is>
          <t>Input 2 (Dữ liệu vào)</t>
        </is>
      </c>
      <c r="F12" s="25" t="inlineStr">
        <is>
          <t>Cấu trúc</t>
        </is>
      </c>
      <c r="G12" s="25" t="inlineStr">
        <is>
          <t>Định dạng</t>
        </is>
      </c>
      <c r="H12" s="25" t="inlineStr">
        <is>
          <t>Số câu hỏi</t>
        </is>
      </c>
      <c r="I12" s="25" t="inlineStr">
        <is>
          <t>Mã công việc</t>
        </is>
      </c>
      <c r="J12" s="25" t="inlineStr">
        <is>
          <t>Tên danh mục</t>
        </is>
      </c>
      <c r="K12" s="25" t="inlineStr">
        <is>
          <t>Checksum</t>
        </is>
      </c>
      <c r="L12" s="25" t="inlineStr">
        <is>
          <t>Nội dung</t>
        </is>
      </c>
      <c r="M12" s="25" t="inlineStr">
        <is>
          <t>Dung lượng</t>
        </is>
      </c>
      <c r="N12" s="25" t="inlineStr">
        <is>
          <t>Nội dung</t>
        </is>
      </c>
      <c r="O12" s="25" t="inlineStr">
        <is>
          <t>Định dạng</t>
        </is>
      </c>
      <c r="P12" s="25" t="inlineStr">
        <is>
          <t>Cột bắt buộc</t>
        </is>
      </c>
      <c r="Q12" s="25" t="inlineStr">
        <is>
          <t>Checksum</t>
        </is>
      </c>
      <c r="R12" s="25" t="inlineStr">
        <is>
          <t>Cảnh báo</t>
        </is>
      </c>
      <c r="S12" s="25" t="inlineStr">
        <is>
          <t>Hành động</t>
        </is>
      </c>
      <c r="T12" s="25" t="inlineStr">
        <is>
          <t>Job ID</t>
        </is>
      </c>
    </row>
    <row r="13" ht="22" customHeight="1">
      <c r="A13" s="26" t="n"/>
      <c r="F13" s="10" t="inlineStr">
        <is>
          <t>5 câu hỏi tiêu chuẩn</t>
        </is>
      </c>
      <c r="G13" s="10" t="inlineStr">
        <is>
          <t>Kèm đáp án trắc nghiệm</t>
        </is>
      </c>
      <c r="H13" s="10" t="inlineStr">
        <is>
          <t>10 câu</t>
        </is>
      </c>
      <c r="I13" s="10" t="inlineStr">
        <is>
          <t>job_import_001</t>
        </is>
      </c>
      <c r="J13" s="10" t="inlineStr">
        <is>
          <t>Bộ câu hỏi chăm sóc KH</t>
        </is>
      </c>
      <c r="K13" s="10" t="inlineStr">
        <is>
          <t>cs_abc123</t>
        </is>
      </c>
      <c r="L13" s="10" t="inlineStr">
        <is>
          <t>Tiếng Việt có dấu + Tiếng Nhật/Trung</t>
        </is>
      </c>
      <c r="M13" s="10" t="inlineStr">
        <is>
          <t>100 câu hỏi trong 1 file</t>
        </is>
      </c>
      <c r="N13" s="10" t="inlineStr">
        <is>
          <t>File rỗng 0 KB</t>
        </is>
      </c>
      <c r="O13" s="10" t="inlineStr">
        <is>
          <t>File PDF đổi đuôi .csv</t>
        </is>
      </c>
      <c r="P13" s="10" t="inlineStr">
        <is>
          <t>Thiếu cột question_type</t>
        </is>
      </c>
      <c r="Q13" s="10" t="inlineStr">
        <is>
          <t>checksum_tampered</t>
        </is>
      </c>
      <c r="R13" s="10" t="inlineStr">
        <is>
          <t>Logic rẽ nhánh chưa có câu kết</t>
        </is>
      </c>
      <c r="S13" s="10" t="inlineStr">
        <is>
          <t>Tạo Form khảo sát nhanh</t>
        </is>
      </c>
      <c r="T13" s="10" t="inlineStr">
        <is>
          <t>job_import_001</t>
        </is>
      </c>
    </row>
    <row r="14" ht="22" customHeight="1">
      <c r="A14" s="27" t="n"/>
    </row>
    <row r="15" ht="22" customHeight="1">
      <c r="A15" s="6" t="inlineStr">
        <is>
          <t>Confirm
(Xác nhận)</t>
        </is>
      </c>
      <c r="B15" s="5" t="inlineStr">
        <is>
          <t>Kết quả</t>
        </is>
      </c>
      <c r="F15" s="10" t="inlineStr">
        <is>
          <t>Hệ thống đọc file OK, hiển thị màn hình Xem trước (Preview)</t>
        </is>
      </c>
      <c r="G15" s="10" t="inlineStr">
        <is>
          <t>Hệ thống đọc file XLSX OK, trích xuất câu hỏi đầy đủ</t>
        </is>
      </c>
      <c r="H15" s="10" t="inlineStr">
        <is>
          <t>Mức độ tương thích 100%, không phát hiện lỗi rẽ nhánh</t>
        </is>
      </c>
      <c r="I15" s="10" t="inlineStr">
        <is>
          <t>Khảo sát mới tạo thành công từ ngân hàng câu hỏi CSV</t>
        </is>
      </c>
      <c r="J15" s="10" t="inlineStr">
        <is>
          <t>Tạo danh mục Test Bank thành công để tái sử dụng</t>
        </is>
      </c>
      <c r="K15" s="10" t="inlineStr">
        <is>
          <t>Hệ thống phát hiện file trùng và tái sử dụng kết quả đã validate</t>
        </is>
      </c>
      <c r="L15" s="10" t="inlineStr">
        <is>
          <t>File được trích xuất chính xác ký tự UTF-8 không vỡ font</t>
        </is>
      </c>
      <c r="M15" s="10" t="inlineStr">
        <is>
          <t>Xử lý validate và trích xuất thành công dưới 3 giây</t>
        </is>
      </c>
      <c r="N15" s="10" t="inlineStr"/>
      <c r="O15" s="10" t="inlineStr"/>
      <c r="P15" s="10" t="inlineStr"/>
      <c r="Q15" s="10" t="inlineStr"/>
      <c r="R15" s="10" t="inlineStr">
        <is>
          <t>Hiển thị thông báo Cảnh báo (Warning) cho phép chỉnh sửa thủ công</t>
        </is>
      </c>
      <c r="S15" s="10" t="inlineStr">
        <is>
          <t>Form mới chứa đúng 5 câu đã chọn từ ngân hàng</t>
        </is>
      </c>
      <c r="T15" s="10" t="inlineStr">
        <is>
          <t>Xóa dữ liệu nháp của phiên import sạch sẻ</t>
        </is>
      </c>
    </row>
    <row r="16" ht="22" customHeight="1">
      <c r="A16" s="26" t="n"/>
    </row>
    <row r="17" ht="22" customHeight="1">
      <c r="A17" s="26" t="n"/>
      <c r="B17" s="5" t="inlineStr">
        <is>
          <t>Lỗi</t>
        </is>
      </c>
      <c r="F17" s="10" t="inlineStr"/>
      <c r="G17" s="10" t="inlineStr"/>
      <c r="H17" s="10" t="inlineStr"/>
      <c r="I17" s="10" t="inlineStr"/>
      <c r="J17" s="10" t="inlineStr"/>
      <c r="K17" s="10" t="inlineStr"/>
      <c r="L17" s="10" t="inlineStr"/>
      <c r="M17" s="10" t="inlineStr"/>
      <c r="N17" s="28" t="inlineStr">
        <is>
          <t>Nội dung file không được để trống</t>
        </is>
      </c>
      <c r="O17" s="28" t="inlineStr">
        <is>
          <t>Không thể phân tích định dạng file CSV/Excel</t>
        </is>
      </c>
      <c r="P17" s="28" t="inlineStr">
        <is>
          <t>Thiếu trường thông tin bắt buộc trong file CSV</t>
        </is>
      </c>
      <c r="Q17" s="28" t="inlineStr">
        <is>
          <t>Checksum không khớp, hủy thao tác import để bảo mật</t>
        </is>
      </c>
      <c r="R17" s="10" t="inlineStr"/>
      <c r="S17" s="10" t="inlineStr"/>
      <c r="T17" s="10" t="inlineStr"/>
    </row>
    <row r="18" ht="22" customHeight="1">
      <c r="A18" s="26" t="n"/>
    </row>
    <row r="19" ht="22" customHeight="1">
      <c r="A19" s="26" t="n"/>
      <c r="B19" s="5" t="inlineStr">
        <is>
          <t>Log</t>
        </is>
      </c>
      <c r="F19" s="10" t="inlineStr">
        <is>
          <t>CSV parsed OK</t>
        </is>
      </c>
      <c r="G19" s="10" t="inlineStr">
        <is>
          <t>XLSX parsed OK</t>
        </is>
      </c>
      <c r="H19" s="10" t="inlineStr">
        <is>
          <t>Compiler check 100%</t>
        </is>
      </c>
      <c r="I19" s="10" t="inlineStr">
        <is>
          <t>Import committed OK</t>
        </is>
      </c>
      <c r="J19" s="10" t="inlineStr">
        <is>
          <t>Test bank saved</t>
        </is>
      </c>
      <c r="K19" s="10" t="inlineStr">
        <is>
          <t>Import job reused</t>
        </is>
      </c>
      <c r="L19" s="10" t="inlineStr">
        <is>
          <t>UTF-8 encoding OK</t>
        </is>
      </c>
      <c r="M19" s="10" t="inlineStr">
        <is>
          <t>Large CSV imported</t>
        </is>
      </c>
      <c r="N19" s="10" t="inlineStr">
        <is>
          <t>file.empty error</t>
        </is>
      </c>
      <c r="O19" s="10" t="inlineStr">
        <is>
          <t>file.parse_error</t>
        </is>
      </c>
      <c r="P19" s="10" t="inlineStr">
        <is>
          <t>Schema validation error</t>
        </is>
      </c>
      <c r="Q19" s="10" t="inlineStr">
        <is>
          <t>Checksum mismatch</t>
        </is>
      </c>
      <c r="R19" s="10" t="inlineStr">
        <is>
          <t>Validation with warnings</t>
        </is>
      </c>
      <c r="S19" s="10" t="inlineStr">
        <is>
          <t>Form created from bank</t>
        </is>
      </c>
      <c r="T19" s="10" t="inlineStr">
        <is>
          <t>Import job cancelled</t>
        </is>
      </c>
    </row>
    <row r="20" ht="22" customHeight="1">
      <c r="A20" s="27" t="n"/>
    </row>
    <row r="21" ht="22" customHeight="1">
      <c r="A21" s="29" t="inlineStr">
        <is>
          <t>Result
(Kết quả)</t>
        </is>
      </c>
      <c r="B21" s="30" t="inlineStr">
        <is>
          <t>Type (N : Normal, A : Abnormal, B : Boundary)</t>
        </is>
      </c>
      <c r="C21" s="7" t="n"/>
      <c r="D21" s="7" t="n"/>
      <c r="E21" s="8" t="n"/>
      <c r="F21" s="21" t="inlineStr">
        <is>
          <t>N</t>
        </is>
      </c>
      <c r="G21" s="21" t="inlineStr">
        <is>
          <t>N</t>
        </is>
      </c>
      <c r="H21" s="21" t="inlineStr">
        <is>
          <t>N</t>
        </is>
      </c>
      <c r="I21" s="21" t="inlineStr">
        <is>
          <t>N</t>
        </is>
      </c>
      <c r="J21" s="21" t="inlineStr">
        <is>
          <t>N</t>
        </is>
      </c>
      <c r="K21" s="21" t="inlineStr">
        <is>
          <t>N</t>
        </is>
      </c>
      <c r="L21" s="23" t="inlineStr">
        <is>
          <t>B</t>
        </is>
      </c>
      <c r="M21" s="23" t="inlineStr">
        <is>
          <t>B</t>
        </is>
      </c>
      <c r="N21" s="22" t="inlineStr">
        <is>
          <t>A</t>
        </is>
      </c>
      <c r="O21" s="22" t="inlineStr">
        <is>
          <t>A</t>
        </is>
      </c>
      <c r="P21" s="22" t="inlineStr">
        <is>
          <t>A</t>
        </is>
      </c>
      <c r="Q21" s="22" t="inlineStr">
        <is>
          <t>A</t>
        </is>
      </c>
      <c r="R21" s="21" t="inlineStr">
        <is>
          <t>N</t>
        </is>
      </c>
      <c r="S21" s="21" t="inlineStr">
        <is>
          <t>N</t>
        </is>
      </c>
      <c r="T21" s="21" t="inlineStr">
        <is>
          <t>N</t>
        </is>
      </c>
    </row>
    <row r="22" ht="22" customHeight="1">
      <c r="A22" s="26" t="n"/>
      <c r="B22" s="30" t="inlineStr">
        <is>
          <t>Passed/Failed (Điền P hoặc F)</t>
        </is>
      </c>
      <c r="C22" s="7" t="n"/>
      <c r="D22" s="7" t="n"/>
      <c r="E22" s="8" t="n"/>
    </row>
    <row r="23" ht="22" customHeight="1">
      <c r="A23" s="26" t="n"/>
      <c r="B23" s="30" t="inlineStr">
        <is>
          <t>Executed Date (Ngày test)</t>
        </is>
      </c>
      <c r="C23" s="7" t="n"/>
      <c r="D23" s="7" t="n"/>
      <c r="E23" s="8" t="n"/>
    </row>
    <row r="24" ht="22" customHeight="1">
      <c r="A24" s="27" t="n"/>
      <c r="B24" s="30" t="inlineStr">
        <is>
          <t>Defect ID (Mã lỗi nếu có)</t>
        </is>
      </c>
      <c r="C24" s="7" t="n"/>
      <c r="D24" s="7" t="n"/>
      <c r="E24" s="8" t="n"/>
    </row>
  </sheetData>
  <mergeCells count="25">
    <mergeCell ref="C1:E1"/>
    <mergeCell ref="F5:K5"/>
    <mergeCell ref="A9:A14"/>
    <mergeCell ref="A15:A20"/>
    <mergeCell ref="L5:N5"/>
    <mergeCell ref="B24:E24"/>
    <mergeCell ref="A1:B1"/>
    <mergeCell ref="F2:K2"/>
    <mergeCell ref="A6:B6"/>
    <mergeCell ref="C2:E2"/>
    <mergeCell ref="A21:A24"/>
    <mergeCell ref="A3:B3"/>
    <mergeCell ref="B22:E22"/>
    <mergeCell ref="A2:B2"/>
    <mergeCell ref="B21:E21"/>
    <mergeCell ref="A5:B5"/>
    <mergeCell ref="F1:K1"/>
    <mergeCell ref="C3:E3"/>
    <mergeCell ref="C6:E6"/>
    <mergeCell ref="A4:B4"/>
    <mergeCell ref="B23:E23"/>
    <mergeCell ref="C5:E5"/>
    <mergeCell ref="F6:K6"/>
    <mergeCell ref="F3:K3"/>
    <mergeCell ref="C4:T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cols>
    <col width="14" customWidth="1" min="1" max="1"/>
    <col width="22" customWidth="1" min="2" max="2"/>
    <col width="10" customWidth="1" min="3" max="3"/>
    <col width="10" customWidth="1" min="4" max="4"/>
    <col width="8"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16" t="inlineStr">
        <is>
          <t>Function Code</t>
        </is>
      </c>
      <c r="B1" s="17" t="n"/>
      <c r="C1" s="18" t="inlineStr">
        <is>
          <t>AI-FORM-03</t>
        </is>
      </c>
      <c r="D1" s="7" t="n"/>
      <c r="E1" s="8" t="n"/>
      <c r="F1" s="16" t="inlineStr">
        <is>
          <t>Function Name</t>
        </is>
      </c>
      <c r="G1" s="19" t="n"/>
      <c r="H1" s="19" t="n"/>
      <c r="I1" s="19" t="n"/>
      <c r="J1" s="19" t="n"/>
      <c r="K1" s="17" t="n"/>
      <c r="L1" s="18" t="inlineStr">
        <is>
          <t>AI Native — Tạo Form Qua Mô Tả &amp; Prompt</t>
        </is>
      </c>
    </row>
    <row r="2" ht="22" customHeight="1">
      <c r="A2" s="6" t="inlineStr">
        <is>
          <t>Created By</t>
        </is>
      </c>
      <c r="B2" s="8" t="n"/>
      <c r="C2" s="20" t="inlineStr">
        <is>
          <t>Chuyên viên QA / Antigravity Team</t>
        </is>
      </c>
      <c r="D2" s="7" t="n"/>
      <c r="E2" s="8" t="n"/>
      <c r="F2" s="6" t="inlineStr">
        <is>
          <t>Executed By</t>
        </is>
      </c>
      <c r="G2" s="7" t="n"/>
      <c r="H2" s="7" t="n"/>
      <c r="I2" s="7" t="n"/>
      <c r="J2" s="7" t="n"/>
      <c r="K2" s="8" t="n"/>
    </row>
    <row r="3" ht="22" customHeight="1">
      <c r="A3" s="6" t="inlineStr">
        <is>
          <t>Lines of code</t>
        </is>
      </c>
      <c r="B3" s="8" t="n"/>
      <c r="C3" s="2" t="inlineStr">
        <is>
          <t>N/A</t>
        </is>
      </c>
      <c r="D3" s="7" t="n"/>
      <c r="E3" s="8" t="n"/>
      <c r="F3" s="6" t="inlineStr">
        <is>
          <t>Lack of test cases</t>
        </is>
      </c>
      <c r="G3" s="7" t="n"/>
      <c r="H3" s="7" t="n"/>
      <c r="I3" s="7" t="n"/>
      <c r="J3" s="7" t="n"/>
      <c r="K3" s="8" t="n"/>
      <c r="L3" s="2" t="n">
        <v>0</v>
      </c>
    </row>
    <row r="4" ht="22" customHeight="1">
      <c r="A4" s="6" t="inlineStr">
        <is>
          <t>Test requirement</t>
        </is>
      </c>
      <c r="B4" s="8" t="n"/>
      <c r="C4" s="2" t="inlineStr">
        <is>
          <t>Kiểm tra khả năng sinh khảo sát từ Prompt AI, tùy biến ngôn ngữ, số lượng câu và độ chính xác</t>
        </is>
      </c>
      <c r="D4" s="7" t="n"/>
      <c r="E4" s="7" t="n"/>
      <c r="F4" s="7" t="n"/>
      <c r="G4" s="7" t="n"/>
      <c r="H4" s="7" t="n"/>
      <c r="I4" s="7" t="n"/>
      <c r="J4" s="7" t="n"/>
      <c r="K4" s="7" t="n"/>
      <c r="L4" s="7" t="n"/>
      <c r="M4" s="7" t="n"/>
      <c r="N4" s="7" t="n"/>
      <c r="O4" s="7" t="n"/>
      <c r="P4" s="7" t="n"/>
      <c r="Q4" s="7" t="n"/>
      <c r="R4" s="7" t="n"/>
      <c r="S4" s="7" t="n"/>
      <c r="T4" s="8" t="n"/>
    </row>
    <row r="5" ht="22" customHeight="1">
      <c r="A5" s="21" t="inlineStr">
        <is>
          <t>Passed</t>
        </is>
      </c>
      <c r="B5" s="8" t="n"/>
      <c r="C5" s="22" t="inlineStr">
        <is>
          <t>Failed</t>
        </is>
      </c>
      <c r="D5" s="7" t="n"/>
      <c r="E5" s="8" t="n"/>
      <c r="F5" s="23" t="inlineStr">
        <is>
          <t>Untested</t>
        </is>
      </c>
      <c r="G5" s="7" t="n"/>
      <c r="H5" s="7" t="n"/>
      <c r="I5" s="7" t="n"/>
      <c r="J5" s="7" t="n"/>
      <c r="K5" s="8" t="n"/>
      <c r="L5" s="13" t="inlineStr">
        <is>
          <t>N/A/B Case</t>
        </is>
      </c>
      <c r="M5" s="7" t="n"/>
      <c r="N5" s="8" t="n"/>
      <c r="O5" s="13" t="inlineStr">
        <is>
          <t>Total Test Cases</t>
        </is>
      </c>
    </row>
    <row r="6" ht="22" customHeight="1">
      <c r="A6" s="21">
        <f>COUNTIF(F22:T22,"Passed")</f>
        <v/>
      </c>
      <c r="B6" s="8" t="n"/>
      <c r="C6" s="22">
        <f>COUNTIF(F22:T22,"Failed")</f>
        <v/>
      </c>
      <c r="D6" s="7" t="n"/>
      <c r="E6" s="8" t="n"/>
      <c r="F6" s="23">
        <f>15-A6-C6</f>
        <v/>
      </c>
      <c r="G6" s="7" t="n"/>
      <c r="H6" s="7" t="n"/>
      <c r="I6" s="7" t="n"/>
      <c r="J6" s="7" t="n"/>
      <c r="K6" s="8" t="n"/>
      <c r="L6" s="9">
        <f>COUNTIF(F21:T21,"N")</f>
        <v/>
      </c>
      <c r="M6" s="9">
        <f>COUNTIF(F21:T21,"A")</f>
        <v/>
      </c>
      <c r="N6" s="9">
        <f>COUNTIF(F21:T21,"B")</f>
        <v/>
      </c>
      <c r="O6" s="12" t="n">
        <v>15</v>
      </c>
    </row>
    <row r="7" ht="22" customHeight="1"/>
    <row r="8" ht="70" customHeight="1">
      <c r="F8" s="24" t="inlineStr">
        <is>
          <t>UTCID01</t>
        </is>
      </c>
      <c r="G8" s="24" t="inlineStr">
        <is>
          <t>UTCID02</t>
        </is>
      </c>
      <c r="H8" s="24" t="inlineStr">
        <is>
          <t>UTCID03</t>
        </is>
      </c>
      <c r="I8" s="24" t="inlineStr">
        <is>
          <t>UTCID04</t>
        </is>
      </c>
      <c r="J8" s="24" t="inlineStr">
        <is>
          <t>UTCID05</t>
        </is>
      </c>
      <c r="K8" s="24" t="inlineStr">
        <is>
          <t>UTCID06</t>
        </is>
      </c>
      <c r="L8" s="24" t="inlineStr">
        <is>
          <t>UTCID07</t>
        </is>
      </c>
      <c r="M8" s="24" t="inlineStr">
        <is>
          <t>UTCID08</t>
        </is>
      </c>
      <c r="N8" s="24" t="inlineStr">
        <is>
          <t>UTCID09</t>
        </is>
      </c>
      <c r="O8" s="24" t="inlineStr">
        <is>
          <t>UTCID10</t>
        </is>
      </c>
      <c r="P8" s="24" t="inlineStr">
        <is>
          <t>UTCID11</t>
        </is>
      </c>
      <c r="Q8" s="24" t="inlineStr">
        <is>
          <t>UTCID12</t>
        </is>
      </c>
      <c r="R8" s="24" t="inlineStr">
        <is>
          <t>UTCID13</t>
        </is>
      </c>
      <c r="S8" s="24" t="inlineStr">
        <is>
          <t>UTCID14</t>
        </is>
      </c>
      <c r="T8" s="24" t="inlineStr">
        <is>
          <t>UTCID15</t>
        </is>
      </c>
    </row>
    <row r="9" ht="22" customHeight="1">
      <c r="A9" s="6" t="inlineStr">
        <is>
          <t>Condition
(Điều kiện)</t>
        </is>
      </c>
      <c r="B9" s="5" t="inlineStr">
        <is>
          <t>Input 1 (Dữ liệu vào)</t>
        </is>
      </c>
      <c r="F9" s="25" t="inlineStr">
        <is>
          <t>Mô tả Prompt</t>
        </is>
      </c>
      <c r="G9" s="25" t="inlineStr">
        <is>
          <t>Mô tả Prompt</t>
        </is>
      </c>
      <c r="H9" s="25" t="inlineStr">
        <is>
          <t>Yêu cầu loại câu</t>
        </is>
      </c>
      <c r="I9" s="25" t="inlineStr">
        <is>
          <t>Tự động hóa Test Bank</t>
        </is>
      </c>
      <c r="J9" s="25" t="inlineStr">
        <is>
          <t>Chỉnh sửa bằng AI</t>
        </is>
      </c>
      <c r="K9" s="25" t="inlineStr">
        <is>
          <t>Tối ưu câu hỏi AI</t>
        </is>
      </c>
      <c r="L9" s="25" t="inlineStr">
        <is>
          <t>Mô tả Prompt</t>
        </is>
      </c>
      <c r="M9" s="25" t="inlineStr">
        <is>
          <t>Mô tả Prompt</t>
        </is>
      </c>
      <c r="N9" s="25" t="inlineStr">
        <is>
          <t>Mô tả Prompt</t>
        </is>
      </c>
      <c r="O9" s="25" t="inlineStr">
        <is>
          <t>Yêu cầu AI</t>
        </is>
      </c>
      <c r="P9" s="25" t="inlineStr">
        <is>
          <t>Tạo Form bằng AI</t>
        </is>
      </c>
      <c r="Q9" s="25" t="inlineStr">
        <is>
          <t>Xem lại lịch sử AI</t>
        </is>
      </c>
      <c r="R9" s="25" t="inlineStr">
        <is>
          <t>Lưu Form AI</t>
        </is>
      </c>
      <c r="S9" s="25" t="inlineStr">
        <is>
          <t>Tự động gán nhãn</t>
        </is>
      </c>
      <c r="T9" s="25" t="inlineStr">
        <is>
          <t>Dọn dẹp bản nháp AI</t>
        </is>
      </c>
    </row>
    <row r="10" ht="22" customHeight="1">
      <c r="A10" s="26" t="n"/>
      <c r="F10" s="10" t="inlineStr">
        <is>
          <t>Tạo khảo sát đánh giá mức độ hài lòng nhân viên IT</t>
        </is>
      </c>
      <c r="G10" s="10" t="inlineStr">
        <is>
          <t>Create customer feedback survey for E-commerce app</t>
        </is>
      </c>
      <c r="H10" s="10" t="inlineStr">
        <is>
          <t>Gồm NPS, 3 câu trắc nghiệm và 1 câu góp ý mở</t>
        </is>
      </c>
      <c r="I10" s="10" t="inlineStr">
        <is>
          <t>AI chuyển mô tả CSV thành Form khảo sát</t>
        </is>
      </c>
      <c r="J10" s="10" t="inlineStr">
        <is>
          <t>Prompt: 'Thêm 2 câu hỏi về giá sản phẩm'</t>
        </is>
      </c>
      <c r="K10" s="10" t="inlineStr">
        <is>
          <t>Prompt: 'Viết lại câu Q2 lịch sự hơn'</t>
        </is>
      </c>
      <c r="L10" s="10" t="inlineStr">
        <is>
          <t xml:space="preserve">Tạo khảo sát đo lường chỉ số hài lòng Tạo khảo sát đo lường chỉ số hài lòng Tạo khảo sát đo lường chỉ số hài lòng Tạo khảo sát đo lường chỉ số hài lòng Tạo khảo sát đo lường chỉ số hài lòng </t>
        </is>
      </c>
      <c r="M10" s="10" t="inlineStr">
        <is>
          <t>Khảo sát</t>
        </is>
      </c>
      <c r="N10" s="10" t="inlineStr">
        <is>
          <t>(để trống)</t>
        </is>
      </c>
      <c r="O10" s="10" t="inlineStr">
        <is>
          <t>Tạo form</t>
        </is>
      </c>
      <c r="P10" s="10" t="inlineStr">
        <is>
          <t>Tài khoản gói Miễn phí (Free)</t>
        </is>
      </c>
      <c r="Q10" s="10" t="inlineStr">
        <is>
          <t>Lịch sử tạo form bằng AI</t>
        </is>
      </c>
      <c r="R10" s="10" t="inlineStr">
        <is>
          <t>Bấm 'Lưu vào danh sách khảo sát'</t>
        </is>
      </c>
      <c r="S10" s="10" t="inlineStr">
        <is>
          <t>AI tự tạo tên và mô tả cho form</t>
        </is>
      </c>
      <c r="T10" s="10" t="inlineStr">
        <is>
          <t>Bấm 'Hủy phiên tạo AI'</t>
        </is>
      </c>
    </row>
    <row r="11" ht="22" customHeight="1">
      <c r="A11" s="26" t="n"/>
    </row>
    <row r="12" ht="22" customHeight="1">
      <c r="A12" s="26" t="n"/>
      <c r="B12" s="5" t="inlineStr">
        <is>
          <t>Input 2 (Dữ liệu vào)</t>
        </is>
      </c>
      <c r="F12" s="25" t="inlineStr">
        <is>
          <t>Ngôn ngữ</t>
        </is>
      </c>
      <c r="G12" s="25" t="inlineStr">
        <is>
          <t>Ngôn ngữ</t>
        </is>
      </c>
      <c r="H12" s="25" t="inlineStr">
        <is>
          <t>Độ dài</t>
        </is>
      </c>
      <c r="I12" s="25" t="inlineStr">
        <is>
          <t>Nguồn</t>
        </is>
      </c>
      <c r="J12" s="25" t="inlineStr">
        <is>
          <t>Form hiện tại</t>
        </is>
      </c>
      <c r="K12" s="25" t="inlineStr">
        <is>
          <t>Câu hỏi</t>
        </is>
      </c>
      <c r="L12" s="25" t="inlineStr">
        <is>
          <t>Độ dài Prompt</t>
        </is>
      </c>
      <c r="M12" s="25" t="inlineStr">
        <is>
          <t>Độ dài Prompt</t>
        </is>
      </c>
      <c r="N12" s="25" t="inlineStr">
        <is>
          <t>Hành động</t>
        </is>
      </c>
      <c r="O12" s="25" t="inlineStr">
        <is>
          <t>Cấu hình AI</t>
        </is>
      </c>
      <c r="P12" s="25" t="inlineStr">
        <is>
          <t>Quyền hạn</t>
        </is>
      </c>
      <c r="Q12" s="25" t="inlineStr">
        <is>
          <t>Workspace</t>
        </is>
      </c>
      <c r="R12" s="25" t="inlineStr">
        <is>
          <t>Tên form</t>
        </is>
      </c>
      <c r="S12" s="25" t="inlineStr">
        <is>
          <t>Prompt</t>
        </is>
      </c>
      <c r="T12" s="25" t="inlineStr">
        <is>
          <t>Form nháp</t>
        </is>
      </c>
    </row>
    <row r="13" ht="22" customHeight="1">
      <c r="A13" s="26" t="n"/>
      <c r="F13" s="10" t="inlineStr">
        <is>
          <t>Tiếng Việt</t>
        </is>
      </c>
      <c r="G13" s="10" t="inlineStr">
        <is>
          <t>English</t>
        </is>
      </c>
      <c r="H13" s="10" t="inlineStr">
        <is>
          <t>Ngắn gọn</t>
        </is>
      </c>
      <c r="I13" s="10" t="inlineStr">
        <is>
          <t>Prompt + Cấu trúc bảng</t>
        </is>
      </c>
      <c r="J13" s="10" t="inlineStr">
        <is>
          <t>Form đã tạo</t>
        </is>
      </c>
      <c r="K13" s="10" t="inlineStr">
        <is>
          <t>Q2</t>
        </is>
      </c>
      <c r="L13" s="10" t="inlineStr">
        <is>
          <t>Prompt rất chi tiết 1500 từ</t>
        </is>
      </c>
      <c r="M13" s="10" t="inlineStr">
        <is>
          <t>Prompt cực ngắn 1 từ</t>
        </is>
      </c>
      <c r="N13" s="10" t="inlineStr">
        <is>
          <t>Bấm 'Tạo bằng AI'</t>
        </is>
      </c>
      <c r="O13" s="10" t="inlineStr">
        <is>
          <t>API Key sai hoặc mất kết nối</t>
        </is>
      </c>
      <c r="P13" s="10" t="inlineStr">
        <is>
          <t>Chưa đăng ký AI</t>
        </is>
      </c>
      <c r="Q13" s="10" t="inlineStr">
        <is>
          <t>ws_001</t>
        </is>
      </c>
      <c r="R13" s="10" t="inlineStr">
        <is>
          <t>Khảo sát AI - CSKH</t>
        </is>
      </c>
      <c r="S13" s="10" t="inlineStr">
        <is>
          <t>Tạo form nhanh</t>
        </is>
      </c>
      <c r="T13" s="10" t="inlineStr">
        <is>
          <t>Chưa lưu</t>
        </is>
      </c>
    </row>
    <row r="14" ht="22" customHeight="1">
      <c r="A14" s="27" t="n"/>
    </row>
    <row r="15" ht="22" customHeight="1">
      <c r="A15" s="6" t="inlineStr">
        <is>
          <t>Confirm
(Xác nhận)</t>
        </is>
      </c>
      <c r="B15" s="5" t="inlineStr">
        <is>
          <t>Kết quả</t>
        </is>
      </c>
      <c r="F15" s="10" t="inlineStr">
        <is>
          <t>AI sinh ra form khảo sát 5 câu hỏi chuẩn chuyên môn nhân sự</t>
        </is>
      </c>
      <c r="G15" s="10" t="inlineStr">
        <is>
          <t>AI sinh form khảo sát tiếng Anh 6 câu có NPS &amp; Rating</t>
        </is>
      </c>
      <c r="H15" s="10" t="inlineStr">
        <is>
          <t>AI tạo đúng các cấu trúc loại câu hỏi yêu cầu</t>
        </is>
      </c>
      <c r="I15" s="10" t="inlineStr">
        <is>
          <t>AI tự đọc cấu trúc bảng và tạo các ô nhập tương ứng</t>
        </is>
      </c>
      <c r="J15" s="10" t="inlineStr">
        <is>
          <t>AI bổ sung thêm 2 câu hỏi đúng ngữ cảnh vào form</t>
        </is>
      </c>
      <c r="K15" s="10" t="inlineStr">
        <is>
          <t>AI viết lại văn phong câu hỏi hay hơn, giữ nguyên ý</t>
        </is>
      </c>
      <c r="L15" s="10" t="inlineStr">
        <is>
          <t>AI xử lý prompt dài thành công và trả về form chuẩn</t>
        </is>
      </c>
      <c r="M15" s="10" t="inlineStr">
        <is>
          <t>AI tự suy luận bối cảnh chung và gợi ý form cơ bản</t>
        </is>
      </c>
      <c r="N15" s="10" t="inlineStr"/>
      <c r="O15" s="10" t="inlineStr"/>
      <c r="P15" s="10" t="inlineStr"/>
      <c r="Q15" s="10" t="inlineStr">
        <is>
          <t>Hiển thị danh sách các câu lệnh và phiên bản form AI đã tạo</t>
        </is>
      </c>
      <c r="R15" s="10" t="inlineStr">
        <is>
          <t>Form AI được lưu chính thức vào Workspace ở dạng Bản nháp</t>
        </is>
      </c>
      <c r="S15" s="10" t="inlineStr">
        <is>
          <t>AI tự tạo Tên khảo sát và Mô tả ngắn hấp dẫn</t>
        </is>
      </c>
      <c r="T15" s="10" t="inlineStr">
        <is>
          <t>Hủy phiên làm việc AI không lưu rác vào cơ sở dữ liệu</t>
        </is>
      </c>
    </row>
    <row r="16" ht="22" customHeight="1">
      <c r="A16" s="26" t="n"/>
    </row>
    <row r="17" ht="22" customHeight="1">
      <c r="A17" s="26" t="n"/>
      <c r="B17" s="5" t="inlineStr">
        <is>
          <t>Lỗi</t>
        </is>
      </c>
      <c r="F17" s="10" t="inlineStr"/>
      <c r="G17" s="10" t="inlineStr"/>
      <c r="H17" s="10" t="inlineStr"/>
      <c r="I17" s="10" t="inlineStr"/>
      <c r="J17" s="10" t="inlineStr"/>
      <c r="K17" s="10" t="inlineStr"/>
      <c r="L17" s="10" t="inlineStr"/>
      <c r="M17" s="10" t="inlineStr"/>
      <c r="N17" s="28" t="inlineStr">
        <is>
          <t>Câu lệnh mô tả (Prompt) là bắt buộc</t>
        </is>
      </c>
      <c r="O17" s="28" t="inlineStr">
        <is>
          <t>Dịch vụ AI tạm thời không kết nối được</t>
        </is>
      </c>
      <c r="P17" s="28" t="inlineStr">
        <is>
          <t>Tính năng AI Native yêu cầu nâng cấp gói Enterprise/Pro</t>
        </is>
      </c>
      <c r="Q17" s="10" t="inlineStr"/>
      <c r="R17" s="10" t="inlineStr"/>
      <c r="S17" s="10" t="inlineStr"/>
      <c r="T17" s="10" t="inlineStr"/>
    </row>
    <row r="18" ht="22" customHeight="1">
      <c r="A18" s="26" t="n"/>
    </row>
    <row r="19" ht="22" customHeight="1">
      <c r="A19" s="26" t="n"/>
      <c r="B19" s="5" t="inlineStr">
        <is>
          <t>Log</t>
        </is>
      </c>
      <c r="F19" s="10" t="inlineStr">
        <is>
          <t>AI Form generated VI</t>
        </is>
      </c>
      <c r="G19" s="10" t="inlineStr">
        <is>
          <t>AI Form generated EN</t>
        </is>
      </c>
      <c r="H19" s="10" t="inlineStr">
        <is>
          <t>Custom question types OK</t>
        </is>
      </c>
      <c r="I19" s="10" t="inlineStr">
        <is>
          <t>AI table to form OK</t>
        </is>
      </c>
      <c r="J19" s="10" t="inlineStr">
        <is>
          <t>AI form updated</t>
        </is>
      </c>
      <c r="K19" s="10" t="inlineStr">
        <is>
          <t>AI question refined</t>
        </is>
      </c>
      <c r="L19" s="10" t="inlineStr">
        <is>
          <t>Long prompt processed</t>
        </is>
      </c>
      <c r="M19" s="10" t="inlineStr">
        <is>
          <t>Short prompt inferred</t>
        </is>
      </c>
      <c r="N19" s="10" t="inlineStr">
        <is>
          <t>Empty prompt error</t>
        </is>
      </c>
      <c r="O19" s="10" t="inlineStr">
        <is>
          <t>AI Provider down</t>
        </is>
      </c>
      <c r="P19" s="10" t="inlineStr">
        <is>
          <t>Entitlement denied</t>
        </is>
      </c>
      <c r="Q19" s="10" t="inlineStr">
        <is>
          <t>AI history fetched</t>
        </is>
      </c>
      <c r="R19" s="10" t="inlineStr">
        <is>
          <t>AI Form saved</t>
        </is>
      </c>
      <c r="S19" s="10" t="inlineStr">
        <is>
          <t>Auto metadata generated</t>
        </is>
      </c>
      <c r="T19" s="10" t="inlineStr">
        <is>
          <t>AI session cleared</t>
        </is>
      </c>
    </row>
    <row r="20" ht="22" customHeight="1">
      <c r="A20" s="27" t="n"/>
    </row>
    <row r="21" ht="22" customHeight="1">
      <c r="A21" s="29" t="inlineStr">
        <is>
          <t>Result
(Kết quả)</t>
        </is>
      </c>
      <c r="B21" s="30" t="inlineStr">
        <is>
          <t>Type (N : Normal, A : Abnormal, B : Boundary)</t>
        </is>
      </c>
      <c r="C21" s="7" t="n"/>
      <c r="D21" s="7" t="n"/>
      <c r="E21" s="8" t="n"/>
      <c r="F21" s="21" t="inlineStr">
        <is>
          <t>N</t>
        </is>
      </c>
      <c r="G21" s="21" t="inlineStr">
        <is>
          <t>N</t>
        </is>
      </c>
      <c r="H21" s="21" t="inlineStr">
        <is>
          <t>N</t>
        </is>
      </c>
      <c r="I21" s="21" t="inlineStr">
        <is>
          <t>N</t>
        </is>
      </c>
      <c r="J21" s="21" t="inlineStr">
        <is>
          <t>N</t>
        </is>
      </c>
      <c r="K21" s="21" t="inlineStr">
        <is>
          <t>N</t>
        </is>
      </c>
      <c r="L21" s="23" t="inlineStr">
        <is>
          <t>B</t>
        </is>
      </c>
      <c r="M21" s="23" t="inlineStr">
        <is>
          <t>B</t>
        </is>
      </c>
      <c r="N21" s="22" t="inlineStr">
        <is>
          <t>A</t>
        </is>
      </c>
      <c r="O21" s="22" t="inlineStr">
        <is>
          <t>A</t>
        </is>
      </c>
      <c r="P21" s="22" t="inlineStr">
        <is>
          <t>A</t>
        </is>
      </c>
      <c r="Q21" s="21" t="inlineStr">
        <is>
          <t>N</t>
        </is>
      </c>
      <c r="R21" s="21" t="inlineStr">
        <is>
          <t>N</t>
        </is>
      </c>
      <c r="S21" s="21" t="inlineStr">
        <is>
          <t>N</t>
        </is>
      </c>
      <c r="T21" s="21" t="inlineStr">
        <is>
          <t>N</t>
        </is>
      </c>
    </row>
    <row r="22" ht="22" customHeight="1">
      <c r="A22" s="26" t="n"/>
      <c r="B22" s="30" t="inlineStr">
        <is>
          <t>Passed/Failed (Điền P hoặc F)</t>
        </is>
      </c>
      <c r="C22" s="7" t="n"/>
      <c r="D22" s="7" t="n"/>
      <c r="E22" s="8" t="n"/>
    </row>
    <row r="23" ht="22" customHeight="1">
      <c r="A23" s="26" t="n"/>
      <c r="B23" s="30" t="inlineStr">
        <is>
          <t>Executed Date (Ngày test)</t>
        </is>
      </c>
      <c r="C23" s="7" t="n"/>
      <c r="D23" s="7" t="n"/>
      <c r="E23" s="8" t="n"/>
    </row>
    <row r="24" ht="22" customHeight="1">
      <c r="A24" s="27" t="n"/>
      <c r="B24" s="30" t="inlineStr">
        <is>
          <t>Defect ID (Mã lỗi nếu có)</t>
        </is>
      </c>
      <c r="C24" s="7" t="n"/>
      <c r="D24" s="7" t="n"/>
      <c r="E24" s="8" t="n"/>
    </row>
  </sheetData>
  <mergeCells count="25">
    <mergeCell ref="C1:E1"/>
    <mergeCell ref="F5:K5"/>
    <mergeCell ref="A9:A14"/>
    <mergeCell ref="A15:A20"/>
    <mergeCell ref="L5:N5"/>
    <mergeCell ref="B24:E24"/>
    <mergeCell ref="A1:B1"/>
    <mergeCell ref="F2:K2"/>
    <mergeCell ref="A6:B6"/>
    <mergeCell ref="C2:E2"/>
    <mergeCell ref="A21:A24"/>
    <mergeCell ref="A3:B3"/>
    <mergeCell ref="B22:E22"/>
    <mergeCell ref="A2:B2"/>
    <mergeCell ref="B21:E21"/>
    <mergeCell ref="A5:B5"/>
    <mergeCell ref="F1:K1"/>
    <mergeCell ref="C3:E3"/>
    <mergeCell ref="C6:E6"/>
    <mergeCell ref="A4:B4"/>
    <mergeCell ref="B23:E23"/>
    <mergeCell ref="C5:E5"/>
    <mergeCell ref="F6:K6"/>
    <mergeCell ref="F3:K3"/>
    <mergeCell ref="C4:T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4"/>
  <sheetViews>
    <sheetView workbookViewId="0">
      <selection activeCell="A1" sqref="A1"/>
    </sheetView>
  </sheetViews>
  <sheetFormatPr baseColWidth="8" defaultRowHeight="15"/>
  <cols>
    <col width="14" customWidth="1" min="1" max="1"/>
    <col width="22" customWidth="1" min="2" max="2"/>
    <col width="10" customWidth="1" min="3" max="3"/>
    <col width="10" customWidth="1" min="4" max="4"/>
    <col width="8"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ht="22" customHeight="1">
      <c r="A1" s="16" t="inlineStr">
        <is>
          <t>Function Code</t>
        </is>
      </c>
      <c r="B1" s="17" t="n"/>
      <c r="C1" s="18" t="inlineStr">
        <is>
          <t>AI-CHAT-04</t>
        </is>
      </c>
      <c r="D1" s="7" t="n"/>
      <c r="E1" s="8" t="n"/>
      <c r="F1" s="16" t="inlineStr">
        <is>
          <t>Function Name</t>
        </is>
      </c>
      <c r="G1" s="19" t="n"/>
      <c r="H1" s="19" t="n"/>
      <c r="I1" s="19" t="n"/>
      <c r="J1" s="19" t="n"/>
      <c r="K1" s="17" t="n"/>
      <c r="L1" s="18" t="inlineStr">
        <is>
          <t>AI Native — Chat Hỏi Đáp Kết Quả Khảo Sát</t>
        </is>
      </c>
    </row>
    <row r="2" ht="22" customHeight="1">
      <c r="A2" s="6" t="inlineStr">
        <is>
          <t>Created By</t>
        </is>
      </c>
      <c r="B2" s="8" t="n"/>
      <c r="C2" s="20" t="inlineStr">
        <is>
          <t>Chuyên viên QA / Antigravity Team</t>
        </is>
      </c>
      <c r="D2" s="7" t="n"/>
      <c r="E2" s="8" t="n"/>
      <c r="F2" s="6" t="inlineStr">
        <is>
          <t>Executed By</t>
        </is>
      </c>
      <c r="G2" s="7" t="n"/>
      <c r="H2" s="7" t="n"/>
      <c r="I2" s="7" t="n"/>
      <c r="J2" s="7" t="n"/>
      <c r="K2" s="8" t="n"/>
    </row>
    <row r="3" ht="22" customHeight="1">
      <c r="A3" s="6" t="inlineStr">
        <is>
          <t>Lines of code</t>
        </is>
      </c>
      <c r="B3" s="8" t="n"/>
      <c r="C3" s="2" t="inlineStr">
        <is>
          <t>N/A</t>
        </is>
      </c>
      <c r="D3" s="7" t="n"/>
      <c r="E3" s="8" t="n"/>
      <c r="F3" s="6" t="inlineStr">
        <is>
          <t>Lack of test cases</t>
        </is>
      </c>
      <c r="G3" s="7" t="n"/>
      <c r="H3" s="7" t="n"/>
      <c r="I3" s="7" t="n"/>
      <c r="J3" s="7" t="n"/>
      <c r="K3" s="8" t="n"/>
      <c r="L3" s="2" t="n">
        <v>0</v>
      </c>
    </row>
    <row r="4" ht="22" customHeight="1">
      <c r="A4" s="6" t="inlineStr">
        <is>
          <t>Test requirement</t>
        </is>
      </c>
      <c r="B4" s="8" t="n"/>
      <c r="C4" s="2" t="inlineStr">
        <is>
          <t>Kiểm tra khả năng hỏi đáp AI, tóm tắt ý kiến, truy vấn số liệu và độ tin cậy của phản hồi</t>
        </is>
      </c>
      <c r="D4" s="7" t="n"/>
      <c r="E4" s="7" t="n"/>
      <c r="F4" s="7" t="n"/>
      <c r="G4" s="7" t="n"/>
      <c r="H4" s="7" t="n"/>
      <c r="I4" s="7" t="n"/>
      <c r="J4" s="7" t="n"/>
      <c r="K4" s="7" t="n"/>
      <c r="L4" s="7" t="n"/>
      <c r="M4" s="7" t="n"/>
      <c r="N4" s="7" t="n"/>
      <c r="O4" s="7" t="n"/>
      <c r="P4" s="7" t="n"/>
      <c r="Q4" s="8" t="n"/>
    </row>
    <row r="5" ht="22" customHeight="1">
      <c r="A5" s="21" t="inlineStr">
        <is>
          <t>Passed</t>
        </is>
      </c>
      <c r="B5" s="8" t="n"/>
      <c r="C5" s="22" t="inlineStr">
        <is>
          <t>Failed</t>
        </is>
      </c>
      <c r="D5" s="7" t="n"/>
      <c r="E5" s="8" t="n"/>
      <c r="F5" s="23" t="inlineStr">
        <is>
          <t>Untested</t>
        </is>
      </c>
      <c r="G5" s="7" t="n"/>
      <c r="H5" s="7" t="n"/>
      <c r="I5" s="7" t="n"/>
      <c r="J5" s="7" t="n"/>
      <c r="K5" s="8" t="n"/>
      <c r="L5" s="13" t="inlineStr">
        <is>
          <t>N/A/B Case</t>
        </is>
      </c>
      <c r="M5" s="7" t="n"/>
      <c r="N5" s="8" t="n"/>
      <c r="O5" s="13" t="inlineStr">
        <is>
          <t>Total Test Cases</t>
        </is>
      </c>
    </row>
    <row r="6" ht="22" customHeight="1">
      <c r="A6" s="21">
        <f>COUNTIF(F22:Q22,"Passed")</f>
        <v/>
      </c>
      <c r="B6" s="8" t="n"/>
      <c r="C6" s="22">
        <f>COUNTIF(F22:Q22,"Failed")</f>
        <v/>
      </c>
      <c r="D6" s="7" t="n"/>
      <c r="E6" s="8" t="n"/>
      <c r="F6" s="23">
        <f>12-A6-C6</f>
        <v/>
      </c>
      <c r="G6" s="7" t="n"/>
      <c r="H6" s="7" t="n"/>
      <c r="I6" s="7" t="n"/>
      <c r="J6" s="7" t="n"/>
      <c r="K6" s="8" t="n"/>
      <c r="L6" s="9">
        <f>COUNTIF(F21:Q21,"N")</f>
        <v/>
      </c>
      <c r="M6" s="9">
        <f>COUNTIF(F21:Q21,"A")</f>
        <v/>
      </c>
      <c r="N6" s="9">
        <f>COUNTIF(F21:Q21,"B")</f>
        <v/>
      </c>
      <c r="O6" s="12" t="n">
        <v>12</v>
      </c>
    </row>
    <row r="7" ht="22" customHeight="1"/>
    <row r="8" ht="70" customHeight="1">
      <c r="F8" s="24" t="inlineStr">
        <is>
          <t>UTCID01</t>
        </is>
      </c>
      <c r="G8" s="24" t="inlineStr">
        <is>
          <t>UTCID02</t>
        </is>
      </c>
      <c r="H8" s="24" t="inlineStr">
        <is>
          <t>UTCID03</t>
        </is>
      </c>
      <c r="I8" s="24" t="inlineStr">
        <is>
          <t>UTCID04</t>
        </is>
      </c>
      <c r="J8" s="24" t="inlineStr">
        <is>
          <t>UTCID05</t>
        </is>
      </c>
      <c r="K8" s="24" t="inlineStr">
        <is>
          <t>UTCID06</t>
        </is>
      </c>
      <c r="L8" s="24" t="inlineStr">
        <is>
          <t>UTCID07</t>
        </is>
      </c>
      <c r="M8" s="24" t="inlineStr">
        <is>
          <t>UTCID08</t>
        </is>
      </c>
      <c r="N8" s="24" t="inlineStr">
        <is>
          <t>UTCID09</t>
        </is>
      </c>
      <c r="O8" s="24" t="inlineStr">
        <is>
          <t>UTCID10</t>
        </is>
      </c>
      <c r="P8" s="24" t="inlineStr">
        <is>
          <t>UTCID11</t>
        </is>
      </c>
      <c r="Q8" s="24" t="inlineStr">
        <is>
          <t>UTCID12</t>
        </is>
      </c>
    </row>
    <row r="9" ht="22" customHeight="1">
      <c r="A9" s="6" t="inlineStr">
        <is>
          <t>Condition
(Điều kiện)</t>
        </is>
      </c>
      <c r="B9" s="5" t="inlineStr">
        <is>
          <t>Input 1 (Dữ liệu vào)</t>
        </is>
      </c>
      <c r="F9" s="25" t="inlineStr">
        <is>
          <t>Câu hỏi Chat</t>
        </is>
      </c>
      <c r="G9" s="25" t="inlineStr">
        <is>
          <t>Câu hỏi Chat</t>
        </is>
      </c>
      <c r="H9" s="25" t="inlineStr">
        <is>
          <t>Câu hỏi Chat</t>
        </is>
      </c>
      <c r="I9" s="25" t="inlineStr">
        <is>
          <t>Câu hỏi Chat</t>
        </is>
      </c>
      <c r="J9" s="25" t="inlineStr">
        <is>
          <t>Truy vấn theo thời gian</t>
        </is>
      </c>
      <c r="K9" s="25" t="inlineStr">
        <is>
          <t>Xuất phản hồi Chat</t>
        </is>
      </c>
      <c r="L9" s="25" t="inlineStr">
        <is>
          <t>Hỏi đáp Unicode</t>
        </is>
      </c>
      <c r="M9" s="25" t="inlineStr">
        <is>
          <t>Hỏi câu phức hợp</t>
        </is>
      </c>
      <c r="N9" s="25" t="inlineStr">
        <is>
          <t>Câu hỏi Chat</t>
        </is>
      </c>
      <c r="O9" s="25" t="inlineStr">
        <is>
          <t>Câu hỏi Chat</t>
        </is>
      </c>
      <c r="P9" s="25" t="inlineStr">
        <is>
          <t>Truy vấn dữ liệu rỗng</t>
        </is>
      </c>
      <c r="Q9" s="25" t="inlineStr">
        <is>
          <t>Xóa lịch sử Chat</t>
        </is>
      </c>
    </row>
    <row r="10" ht="22" customHeight="1">
      <c r="A10" s="26" t="n"/>
      <c r="F10" s="10" t="inlineStr">
        <is>
          <t>Tóm tắt các vấn đề chính khách hàng phàn nàn trong tuần qua</t>
        </is>
      </c>
      <c r="G10" s="10" t="inlineStr">
        <is>
          <t>Có bao nhiêu người đánh giá 5 sao cho sản phẩm?</t>
        </is>
      </c>
      <c r="H10" s="10" t="inlineStr">
        <is>
          <t>So sánh mức độ hài lòng giữa nhóm Khách hàng cũ và Mới</t>
        </is>
      </c>
      <c r="I10" s="10" t="inlineStr">
        <is>
          <t>Đưa ra 3 đề xuất cải thiện dịch vụ dựa trên góp ý của người dùng</t>
        </is>
      </c>
      <c r="J10" s="10" t="inlineStr">
        <is>
          <t>Khách hàng phản hồi thế nào trong 3 ngày gần nhất?</t>
        </is>
      </c>
      <c r="K10" s="10" t="inlineStr">
        <is>
          <t>Bấm 'Lưu câu trả lời AI vào Báo cáo'</t>
        </is>
      </c>
      <c r="L10" s="10" t="inlineStr">
        <is>
          <t>Trợ lý AI trả lời bằng tiếng Việt chuẩn ngữ pháp</t>
        </is>
      </c>
      <c r="M10" s="10" t="inlineStr">
        <is>
          <t>Phân tích nguyên nhân làm giảm chỉ số NPS và gợi ý cách khắc phục</t>
        </is>
      </c>
      <c r="N10" s="10" t="inlineStr">
        <is>
          <t>(để trống câu hỏi)</t>
        </is>
      </c>
      <c r="O10" s="10" t="inlineStr">
        <is>
          <t>Dự báo thời tiết ngày mai thế nào?</t>
        </is>
      </c>
      <c r="P10" s="10" t="inlineStr">
        <is>
          <t>Tóm tắt ý kiến khảo sát chưa có phản hồi nào</t>
        </is>
      </c>
      <c r="Q10" s="10" t="inlineStr">
        <is>
          <t>Bấm 'Làm mới phiên trò chuyện AI'</t>
        </is>
      </c>
    </row>
    <row r="11" ht="22" customHeight="1">
      <c r="A11" s="26" t="n"/>
    </row>
    <row r="12" ht="22" customHeight="1">
      <c r="A12" s="26" t="n"/>
      <c r="B12" s="5" t="inlineStr">
        <is>
          <t>Input 2 (Dữ liệu vào)</t>
        </is>
      </c>
      <c r="F12" s="25" t="inlineStr">
        <is>
          <t>Dữ liệu</t>
        </is>
      </c>
      <c r="G12" s="25" t="inlineStr">
        <is>
          <t>Dữ liệu</t>
        </is>
      </c>
      <c r="H12" s="25" t="inlineStr">
        <is>
          <t>Dữ liệu</t>
        </is>
      </c>
      <c r="I12" s="25" t="inlineStr">
        <is>
          <t>Bối cảnh</t>
        </is>
      </c>
      <c r="J12" s="25" t="inlineStr">
        <is>
          <t>Bộ lọc</t>
        </is>
      </c>
      <c r="K12" s="25" t="inlineStr">
        <is>
          <t>Đoạn chat</t>
        </is>
      </c>
      <c r="L12" s="25" t="inlineStr">
        <is>
          <t>Câu hỏi</t>
        </is>
      </c>
      <c r="M12" s="25" t="inlineStr">
        <is>
          <t>Dữ liệu lớn</t>
        </is>
      </c>
      <c r="N12" s="25" t="inlineStr">
        <is>
          <t>Hành động</t>
        </is>
      </c>
      <c r="O12" s="25" t="inlineStr">
        <is>
          <t>Ngữ cảnh</t>
        </is>
      </c>
      <c r="P12" s="25" t="inlineStr">
        <is>
          <t>Dữ liệu</t>
        </is>
      </c>
      <c r="Q12" s="25" t="inlineStr">
        <is>
          <t>Session ID</t>
        </is>
      </c>
    </row>
    <row r="13" ht="22" customHeight="1">
      <c r="A13" s="26" t="n"/>
      <c r="F13" s="10" t="inlineStr">
        <is>
          <t>100 phản hồi</t>
        </is>
      </c>
      <c r="G13" s="10" t="inlineStr">
        <is>
          <t>Khảo sát Rating</t>
        </is>
      </c>
      <c r="H13" s="10" t="inlineStr">
        <is>
          <t>Có thuộc tính nhóm</t>
        </is>
      </c>
      <c r="I13" s="10" t="inlineStr">
        <is>
          <t>Dữ liệu khảo sát</t>
        </is>
      </c>
      <c r="J13" s="10" t="inlineStr">
        <is>
          <t>3 ngày</t>
        </is>
      </c>
      <c r="K13" s="10" t="inlineStr">
        <is>
          <t>Trả lời AI</t>
        </is>
      </c>
      <c r="L13" s="10" t="inlineStr">
        <is>
          <t>Tóm tắt ý kiến bằng Tiếng Việt</t>
        </is>
      </c>
      <c r="M13" s="10" t="inlineStr">
        <is>
          <t>1000 phản hồi</t>
        </is>
      </c>
      <c r="N13" s="10" t="inlineStr">
        <is>
          <t>Bấm Gửi</t>
        </is>
      </c>
      <c r="O13" s="10" t="inlineStr">
        <is>
          <t>Khảo sát sản phẩm</t>
        </is>
      </c>
      <c r="P13" s="10" t="inlineStr">
        <is>
          <t>0 phản hồi</t>
        </is>
      </c>
      <c r="Q13" s="10" t="inlineStr">
        <is>
          <t>chat_session_001</t>
        </is>
      </c>
    </row>
    <row r="14" ht="22" customHeight="1">
      <c r="A14" s="27" t="n"/>
    </row>
    <row r="15" ht="22" customHeight="1">
      <c r="A15" s="6" t="inlineStr">
        <is>
          <t>Confirm
(Xác nhận)</t>
        </is>
      </c>
      <c r="B15" s="5" t="inlineStr">
        <is>
          <t>Kết quả</t>
        </is>
      </c>
      <c r="F15" s="10" t="inlineStr">
        <is>
          <t>AI phân tích và trả lời dạng danh sách 3 ý chính kèm tỉ lệ %</t>
        </is>
      </c>
      <c r="G15" s="10" t="inlineStr">
        <is>
          <t>AI trích xuất chính xác con số cụ thể (ví dụ: 45/100 người)</t>
        </is>
      </c>
      <c r="H15" s="10" t="inlineStr">
        <is>
          <t>AI đưa ra bảng so sánh đối chiếu chi tiết giữa 2 nhóm</t>
        </is>
      </c>
      <c r="I15" s="10" t="inlineStr">
        <is>
          <t>AI tổng hợp các đề xuất hành động thực tế mang tính chiến lược</t>
        </is>
      </c>
      <c r="J15" s="10" t="inlineStr">
        <is>
          <t>AI tự động lọc đúng mốc thời gian và tóm tắt xu hướng</t>
        </is>
      </c>
      <c r="K15" s="10" t="inlineStr">
        <is>
          <t>Nội dung câu trả lời được đính kèm vào báo cáo tổng hợp</t>
        </is>
      </c>
      <c r="L15" s="10" t="inlineStr">
        <is>
          <t>AI trả lời bằng tiếng Việt tự nhiên, không lỗi font</t>
        </is>
      </c>
      <c r="M15" s="10" t="inlineStr">
        <is>
          <t>AI phân tích sâu dữ liệu lớn và trả lời trong dưới 5 giây</t>
        </is>
      </c>
      <c r="N15" s="10" t="inlineStr"/>
      <c r="O15" s="10" t="inlineStr">
        <is>
          <t>AI phản hồi nhắc nhở khéo léo chỉ hỗ trợ truy vấn dữ liệu khảo sát</t>
        </is>
      </c>
      <c r="P15" s="10" t="inlineStr">
        <is>
          <t>AI thông báo: 'Hiện chưa có dữ liệu phản hồi để phân tích'</t>
        </is>
      </c>
      <c r="Q15" s="10" t="inlineStr">
        <is>
          <t>Cửa sổ chat được dọn dẹp sạch sẻ để bắt đầu phiên mới</t>
        </is>
      </c>
    </row>
    <row r="16" ht="22" customHeight="1">
      <c r="A16" s="26" t="n"/>
    </row>
    <row r="17" ht="22" customHeight="1">
      <c r="A17" s="26" t="n"/>
      <c r="B17" s="5" t="inlineStr">
        <is>
          <t>Lỗi</t>
        </is>
      </c>
      <c r="F17" s="10" t="inlineStr"/>
      <c r="G17" s="10" t="inlineStr"/>
      <c r="H17" s="10" t="inlineStr"/>
      <c r="I17" s="10" t="inlineStr"/>
      <c r="J17" s="10" t="inlineStr"/>
      <c r="K17" s="10" t="inlineStr"/>
      <c r="L17" s="10" t="inlineStr"/>
      <c r="M17" s="10" t="inlineStr"/>
      <c r="N17" s="28" t="inlineStr">
        <is>
          <t>Nội dung câu hỏi chat không được để trống</t>
        </is>
      </c>
      <c r="O17" s="10" t="inlineStr"/>
      <c r="P17" s="10" t="inlineStr"/>
      <c r="Q17" s="10" t="inlineStr"/>
    </row>
    <row r="18" ht="22" customHeight="1">
      <c r="A18" s="26" t="n"/>
    </row>
    <row r="19" ht="22" customHeight="1">
      <c r="A19" s="26" t="n"/>
      <c r="B19" s="5" t="inlineStr">
        <is>
          <t>Log</t>
        </is>
      </c>
      <c r="F19" s="10" t="inlineStr">
        <is>
          <t>AI summary chat OK</t>
        </is>
      </c>
      <c r="G19" s="10" t="inlineStr">
        <is>
          <t>AI count query OK</t>
        </is>
      </c>
      <c r="H19" s="10" t="inlineStr">
        <is>
          <t>AI comparison OK</t>
        </is>
      </c>
      <c r="I19" s="10" t="inlineStr">
        <is>
          <t>AI recommendations OK</t>
        </is>
      </c>
      <c r="J19" s="10" t="inlineStr">
        <is>
          <t>AI time-filter chat OK</t>
        </is>
      </c>
      <c r="K19" s="10" t="inlineStr">
        <is>
          <t>AI response exported</t>
        </is>
      </c>
      <c r="L19" s="10" t="inlineStr">
        <is>
          <t>Vietnamese LLM OK</t>
        </is>
      </c>
      <c r="M19" s="10" t="inlineStr">
        <is>
          <t>Deep analysis OK</t>
        </is>
      </c>
      <c r="N19" s="10" t="inlineStr">
        <is>
          <t>Empty question error</t>
        </is>
      </c>
      <c r="O19" s="10" t="inlineStr">
        <is>
          <t>Out of context handled</t>
        </is>
      </c>
      <c r="P19" s="10" t="inlineStr">
        <is>
          <t>Zero data handled</t>
        </is>
      </c>
      <c r="Q19" s="10" t="inlineStr">
        <is>
          <t>Chat reset OK</t>
        </is>
      </c>
    </row>
    <row r="20" ht="22" customHeight="1">
      <c r="A20" s="27" t="n"/>
    </row>
    <row r="21" ht="22" customHeight="1">
      <c r="A21" s="29" t="inlineStr">
        <is>
          <t>Result
(Kết quả)</t>
        </is>
      </c>
      <c r="B21" s="30" t="inlineStr">
        <is>
          <t>Type (N : Normal, A : Abnormal, B : Boundary)</t>
        </is>
      </c>
      <c r="C21" s="7" t="n"/>
      <c r="D21" s="7" t="n"/>
      <c r="E21" s="8" t="n"/>
      <c r="F21" s="21" t="inlineStr">
        <is>
          <t>N</t>
        </is>
      </c>
      <c r="G21" s="21" t="inlineStr">
        <is>
          <t>N</t>
        </is>
      </c>
      <c r="H21" s="21" t="inlineStr">
        <is>
          <t>N</t>
        </is>
      </c>
      <c r="I21" s="21" t="inlineStr">
        <is>
          <t>N</t>
        </is>
      </c>
      <c r="J21" s="21" t="inlineStr">
        <is>
          <t>N</t>
        </is>
      </c>
      <c r="K21" s="21" t="inlineStr">
        <is>
          <t>N</t>
        </is>
      </c>
      <c r="L21" s="23" t="inlineStr">
        <is>
          <t>B</t>
        </is>
      </c>
      <c r="M21" s="23" t="inlineStr">
        <is>
          <t>B</t>
        </is>
      </c>
      <c r="N21" s="22" t="inlineStr">
        <is>
          <t>A</t>
        </is>
      </c>
      <c r="O21" s="22" t="inlineStr">
        <is>
          <t>A</t>
        </is>
      </c>
      <c r="P21" s="22" t="inlineStr">
        <is>
          <t>A</t>
        </is>
      </c>
      <c r="Q21" s="21" t="inlineStr">
        <is>
          <t>N</t>
        </is>
      </c>
    </row>
    <row r="22" ht="22" customHeight="1">
      <c r="A22" s="26" t="n"/>
      <c r="B22" s="30" t="inlineStr">
        <is>
          <t>Passed/Failed (Điền P hoặc F)</t>
        </is>
      </c>
      <c r="C22" s="7" t="n"/>
      <c r="D22" s="7" t="n"/>
      <c r="E22" s="8" t="n"/>
    </row>
    <row r="23" ht="22" customHeight="1">
      <c r="A23" s="26" t="n"/>
      <c r="B23" s="30" t="inlineStr">
        <is>
          <t>Executed Date (Ngày test)</t>
        </is>
      </c>
      <c r="C23" s="7" t="n"/>
      <c r="D23" s="7" t="n"/>
      <c r="E23" s="8" t="n"/>
    </row>
    <row r="24" ht="22" customHeight="1">
      <c r="A24" s="27" t="n"/>
      <c r="B24" s="30" t="inlineStr">
        <is>
          <t>Defect ID (Mã lỗi nếu có)</t>
        </is>
      </c>
      <c r="C24" s="7" t="n"/>
      <c r="D24" s="7" t="n"/>
      <c r="E24" s="8" t="n"/>
    </row>
  </sheetData>
  <mergeCells count="25">
    <mergeCell ref="C1:E1"/>
    <mergeCell ref="F5:K5"/>
    <mergeCell ref="A9:A14"/>
    <mergeCell ref="A15:A20"/>
    <mergeCell ref="L5:N5"/>
    <mergeCell ref="B24:E24"/>
    <mergeCell ref="A1:B1"/>
    <mergeCell ref="F2:K2"/>
    <mergeCell ref="A6:B6"/>
    <mergeCell ref="C2:E2"/>
    <mergeCell ref="A21:A24"/>
    <mergeCell ref="A3:B3"/>
    <mergeCell ref="B22:E22"/>
    <mergeCell ref="A2:B2"/>
    <mergeCell ref="B21:E21"/>
    <mergeCell ref="A5:B5"/>
    <mergeCell ref="F1:K1"/>
    <mergeCell ref="C3:E3"/>
    <mergeCell ref="C6:E6"/>
    <mergeCell ref="A4:B4"/>
    <mergeCell ref="B23:E23"/>
    <mergeCell ref="C5:E5"/>
    <mergeCell ref="F6:K6"/>
    <mergeCell ref="C4:Q4"/>
    <mergeCell ref="F3:K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4"/>
  <sheetViews>
    <sheetView workbookViewId="0">
      <selection activeCell="A1" sqref="A1"/>
    </sheetView>
  </sheetViews>
  <sheetFormatPr baseColWidth="8" defaultRowHeight="15"/>
  <cols>
    <col width="14" customWidth="1" min="1" max="1"/>
    <col width="22" customWidth="1" min="2" max="2"/>
    <col width="10" customWidth="1" min="3" max="3"/>
    <col width="10" customWidth="1" min="4" max="4"/>
    <col width="8"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ht="22" customHeight="1">
      <c r="A1" s="16" t="inlineStr">
        <is>
          <t>Function Code</t>
        </is>
      </c>
      <c r="B1" s="17" t="n"/>
      <c r="C1" s="18" t="inlineStr">
        <is>
          <t>AI-TRANS-05</t>
        </is>
      </c>
      <c r="D1" s="7" t="n"/>
      <c r="E1" s="8" t="n"/>
      <c r="F1" s="16" t="inlineStr">
        <is>
          <t>Function Name</t>
        </is>
      </c>
      <c r="G1" s="19" t="n"/>
      <c r="H1" s="19" t="n"/>
      <c r="I1" s="19" t="n"/>
      <c r="J1" s="19" t="n"/>
      <c r="K1" s="17" t="n"/>
      <c r="L1" s="18" t="inlineStr">
        <is>
          <t>AI Native — Dịch Thuật Khảo Sát Đa Ngôn Ngữ</t>
        </is>
      </c>
    </row>
    <row r="2" ht="22" customHeight="1">
      <c r="A2" s="6" t="inlineStr">
        <is>
          <t>Created By</t>
        </is>
      </c>
      <c r="B2" s="8" t="n"/>
      <c r="C2" s="20" t="inlineStr">
        <is>
          <t>Chuyên viên QA / Antigravity Team</t>
        </is>
      </c>
      <c r="D2" s="7" t="n"/>
      <c r="E2" s="8" t="n"/>
      <c r="F2" s="6" t="inlineStr">
        <is>
          <t>Executed By</t>
        </is>
      </c>
      <c r="G2" s="7" t="n"/>
      <c r="H2" s="7" t="n"/>
      <c r="I2" s="7" t="n"/>
      <c r="J2" s="7" t="n"/>
      <c r="K2" s="8" t="n"/>
    </row>
    <row r="3" ht="22" customHeight="1">
      <c r="A3" s="6" t="inlineStr">
        <is>
          <t>Lines of code</t>
        </is>
      </c>
      <c r="B3" s="8" t="n"/>
      <c r="C3" s="2" t="inlineStr">
        <is>
          <t>N/A</t>
        </is>
      </c>
      <c r="D3" s="7" t="n"/>
      <c r="E3" s="8" t="n"/>
      <c r="F3" s="6" t="inlineStr">
        <is>
          <t>Lack of test cases</t>
        </is>
      </c>
      <c r="G3" s="7" t="n"/>
      <c r="H3" s="7" t="n"/>
      <c r="I3" s="7" t="n"/>
      <c r="J3" s="7" t="n"/>
      <c r="K3" s="8" t="n"/>
      <c r="L3" s="2" t="n">
        <v>0</v>
      </c>
    </row>
    <row r="4" ht="22" customHeight="1">
      <c r="A4" s="6" t="inlineStr">
        <is>
          <t>Test requirement</t>
        </is>
      </c>
      <c r="B4" s="8" t="n"/>
      <c r="C4" s="2" t="inlineStr">
        <is>
          <t>Kiểm tra chất lượng dịch thuật AI, bảo toàn biến nội dung và cấu trúc form đa ngôn ngữ</t>
        </is>
      </c>
      <c r="D4" s="7" t="n"/>
      <c r="E4" s="7" t="n"/>
      <c r="F4" s="7" t="n"/>
      <c r="G4" s="7" t="n"/>
      <c r="H4" s="7" t="n"/>
      <c r="I4" s="7" t="n"/>
      <c r="J4" s="7" t="n"/>
      <c r="K4" s="7" t="n"/>
      <c r="L4" s="7" t="n"/>
      <c r="M4" s="7" t="n"/>
      <c r="N4" s="7" t="n"/>
      <c r="O4" s="7" t="n"/>
      <c r="P4" s="7" t="n"/>
      <c r="Q4" s="8" t="n"/>
    </row>
    <row r="5" ht="22" customHeight="1">
      <c r="A5" s="21" t="inlineStr">
        <is>
          <t>Passed</t>
        </is>
      </c>
      <c r="B5" s="8" t="n"/>
      <c r="C5" s="22" t="inlineStr">
        <is>
          <t>Failed</t>
        </is>
      </c>
      <c r="D5" s="7" t="n"/>
      <c r="E5" s="8" t="n"/>
      <c r="F5" s="23" t="inlineStr">
        <is>
          <t>Untested</t>
        </is>
      </c>
      <c r="G5" s="7" t="n"/>
      <c r="H5" s="7" t="n"/>
      <c r="I5" s="7" t="n"/>
      <c r="J5" s="7" t="n"/>
      <c r="K5" s="8" t="n"/>
      <c r="L5" s="13" t="inlineStr">
        <is>
          <t>N/A/B Case</t>
        </is>
      </c>
      <c r="M5" s="7" t="n"/>
      <c r="N5" s="8" t="n"/>
      <c r="O5" s="13" t="inlineStr">
        <is>
          <t>Total Test Cases</t>
        </is>
      </c>
    </row>
    <row r="6" ht="22" customHeight="1">
      <c r="A6" s="21">
        <f>COUNTIF(F22:Q22,"Passed")</f>
        <v/>
      </c>
      <c r="B6" s="8" t="n"/>
      <c r="C6" s="22">
        <f>COUNTIF(F22:Q22,"Failed")</f>
        <v/>
      </c>
      <c r="D6" s="7" t="n"/>
      <c r="E6" s="8" t="n"/>
      <c r="F6" s="23">
        <f>12-A6-C6</f>
        <v/>
      </c>
      <c r="G6" s="7" t="n"/>
      <c r="H6" s="7" t="n"/>
      <c r="I6" s="7" t="n"/>
      <c r="J6" s="7" t="n"/>
      <c r="K6" s="8" t="n"/>
      <c r="L6" s="9">
        <f>COUNTIF(F21:Q21,"N")</f>
        <v/>
      </c>
      <c r="M6" s="9">
        <f>COUNTIF(F21:Q21,"A")</f>
        <v/>
      </c>
      <c r="N6" s="9">
        <f>COUNTIF(F21:Q21,"B")</f>
        <v/>
      </c>
      <c r="O6" s="12" t="n">
        <v>12</v>
      </c>
    </row>
    <row r="7" ht="22" customHeight="1"/>
    <row r="8" ht="70" customHeight="1">
      <c r="F8" s="24" t="inlineStr">
        <is>
          <t>UTCID01</t>
        </is>
      </c>
      <c r="G8" s="24" t="inlineStr">
        <is>
          <t>UTCID02</t>
        </is>
      </c>
      <c r="H8" s="24" t="inlineStr">
        <is>
          <t>UTCID03</t>
        </is>
      </c>
      <c r="I8" s="24" t="inlineStr">
        <is>
          <t>UTCID04</t>
        </is>
      </c>
      <c r="J8" s="24" t="inlineStr">
        <is>
          <t>UTCID05</t>
        </is>
      </c>
      <c r="K8" s="24" t="inlineStr">
        <is>
          <t>UTCID06</t>
        </is>
      </c>
      <c r="L8" s="24" t="inlineStr">
        <is>
          <t>UTCID07</t>
        </is>
      </c>
      <c r="M8" s="24" t="inlineStr">
        <is>
          <t>UTCID08</t>
        </is>
      </c>
      <c r="N8" s="24" t="inlineStr">
        <is>
          <t>UTCID09</t>
        </is>
      </c>
      <c r="O8" s="24" t="inlineStr">
        <is>
          <t>UTCID10</t>
        </is>
      </c>
      <c r="P8" s="24" t="inlineStr">
        <is>
          <t>UTCID11</t>
        </is>
      </c>
      <c r="Q8" s="24" t="inlineStr">
        <is>
          <t>UTCID12</t>
        </is>
      </c>
    </row>
    <row r="9" ht="22" customHeight="1">
      <c r="A9" s="6" t="inlineStr">
        <is>
          <t>Condition
(Điều kiện)</t>
        </is>
      </c>
      <c r="B9" s="5" t="inlineStr">
        <is>
          <t>Input 1 (Dữ liệu vào)</t>
        </is>
      </c>
      <c r="F9" s="25" t="inlineStr">
        <is>
          <t>Khảo sát gốc</t>
        </is>
      </c>
      <c r="G9" s="25" t="inlineStr">
        <is>
          <t>Khảo sát gốc</t>
        </is>
      </c>
      <c r="H9" s="25" t="inlineStr">
        <is>
          <t>Khảo sát gốc</t>
        </is>
      </c>
      <c r="I9" s="25" t="inlineStr">
        <is>
          <t>Khảo sát gốc</t>
        </is>
      </c>
      <c r="J9" s="25" t="inlineStr">
        <is>
          <t>Bảo toàn biến</t>
        </is>
      </c>
      <c r="K9" s="25" t="inlineStr">
        <is>
          <t>Dịch thông điệp</t>
        </is>
      </c>
      <c r="L9" s="25" t="inlineStr">
        <is>
          <t>Khảo sát 30 câu</t>
        </is>
      </c>
      <c r="M9" s="25" t="inlineStr">
        <is>
          <t>Chỉnh sửa bản dịch</t>
        </is>
      </c>
      <c r="N9" s="25" t="inlineStr">
        <is>
          <t>Chọn ngôn ngữ</t>
        </is>
      </c>
      <c r="O9" s="25" t="inlineStr">
        <is>
          <t>Dịch thuật AI</t>
        </is>
      </c>
      <c r="P9" s="25" t="inlineStr">
        <is>
          <t>Xóa ngôn ngữ phụ</t>
        </is>
      </c>
      <c r="Q9" s="25" t="inlineStr">
        <is>
          <t>Xem form đa ngôn ngữ</t>
        </is>
      </c>
    </row>
    <row r="10" ht="22" customHeight="1">
      <c r="A10" s="26" t="n"/>
      <c r="F10" s="10" t="inlineStr">
        <is>
          <t>Tiếng Việt</t>
        </is>
      </c>
      <c r="G10" s="10" t="inlineStr">
        <is>
          <t>Tiếng Anh</t>
        </is>
      </c>
      <c r="H10" s="10" t="inlineStr">
        <is>
          <t>Tiếng Việt</t>
        </is>
      </c>
      <c r="I10" s="10" t="inlineStr">
        <is>
          <t>Tiếng Việt</t>
        </is>
      </c>
      <c r="J10" s="10" t="inlineStr">
        <is>
          <t>Câu hỏi chứa {{attribute.name}}</t>
        </is>
      </c>
      <c r="K10" s="10" t="inlineStr">
        <is>
          <t>Dịch tiêu đề + Mô tả + Nút bấm 'Gửi'</t>
        </is>
      </c>
      <c r="L10" s="10" t="inlineStr">
        <is>
          <t>Dịch toàn bộ khảo sát lớn</t>
        </is>
      </c>
      <c r="M10" s="10" t="inlineStr">
        <is>
          <t>Chỉnh sửa thủ công 1 câu sau khi AI dịch</t>
        </is>
      </c>
      <c r="N10" s="10" t="inlineStr">
        <is>
          <t>Ngôn ngữ đích trùng ngôn ngữ gốc</t>
        </is>
      </c>
      <c r="O10" s="10" t="inlineStr">
        <is>
          <t>Khảo sát rỗng không có câu hỏi nào</t>
        </is>
      </c>
      <c r="P10" s="10" t="inlineStr">
        <is>
          <t>Xóa bản dịch tiếng Nhật</t>
        </is>
      </c>
      <c r="Q10" s="10" t="inlineStr">
        <is>
          <t>Chuyển đổi giữa các tab ngôn ngữ</t>
        </is>
      </c>
    </row>
    <row r="11" ht="22" customHeight="1">
      <c r="A11" s="26" t="n"/>
    </row>
    <row r="12" ht="22" customHeight="1">
      <c r="A12" s="26" t="n"/>
      <c r="B12" s="5" t="inlineStr">
        <is>
          <t>Input 2 (Dữ liệu vào)</t>
        </is>
      </c>
      <c r="F12" s="25" t="inlineStr">
        <is>
          <t>Dịch sang</t>
        </is>
      </c>
      <c r="G12" s="25" t="inlineStr">
        <is>
          <t>Dịch sang</t>
        </is>
      </c>
      <c r="H12" s="25" t="inlineStr">
        <is>
          <t>Dịch sang</t>
        </is>
      </c>
      <c r="I12" s="25" t="inlineStr">
        <is>
          <t>Dịch sang</t>
        </is>
      </c>
      <c r="J12" s="25" t="inlineStr">
        <is>
          <t>Dịch thuật</t>
        </is>
      </c>
      <c r="K12" s="25" t="inlineStr">
        <is>
          <t>Ngôn ngữ đích</t>
        </is>
      </c>
      <c r="L12" s="25" t="inlineStr">
        <is>
          <t>Dịch sang</t>
        </is>
      </c>
      <c r="M12" s="25" t="inlineStr">
        <is>
          <t>Câu hỏi</t>
        </is>
      </c>
      <c r="N12" s="25" t="inlineStr">
        <is>
          <t>Ngôn ngữ</t>
        </is>
      </c>
      <c r="O12" s="25" t="inlineStr">
        <is>
          <t>Cấu trúc</t>
        </is>
      </c>
      <c r="P12" s="25" t="inlineStr">
        <is>
          <t>Language Code</t>
        </is>
      </c>
      <c r="Q12" s="25" t="inlineStr">
        <is>
          <t>Xem trước</t>
        </is>
      </c>
    </row>
    <row r="13" ht="22" customHeight="1">
      <c r="A13" s="26" t="n"/>
      <c r="F13" s="10" t="inlineStr">
        <is>
          <t>Tiếng Anh (English)</t>
        </is>
      </c>
      <c r="G13" s="10" t="inlineStr">
        <is>
          <t>Tiếng Nhật (Japanese)</t>
        </is>
      </c>
      <c r="H13" s="10" t="inlineStr">
        <is>
          <t>Tiếng Tây Ban Nha (Spanish)</t>
        </is>
      </c>
      <c r="I13" s="10" t="inlineStr">
        <is>
          <t>Tiếng Trung Quốc (Chinese Simplified)</t>
        </is>
      </c>
      <c r="J13" s="10" t="inlineStr">
        <is>
          <t>Sang tiếng Anh</t>
        </is>
      </c>
      <c r="K13" s="10" t="inlineStr">
        <is>
          <t>Tiếng Pháp</t>
        </is>
      </c>
      <c r="L13" s="10" t="inlineStr">
        <is>
          <t>Tiếng Đức</t>
        </is>
      </c>
      <c r="M13" s="10" t="inlineStr">
        <is>
          <t>Q3</t>
        </is>
      </c>
      <c r="N13" s="10" t="inlineStr">
        <is>
          <t>Tiếng Việt -&gt; Tiếng Việt</t>
        </is>
      </c>
      <c r="O13" s="10" t="inlineStr">
        <is>
          <t>0 câu hỏi</t>
        </is>
      </c>
      <c r="P13" s="10" t="inlineStr">
        <is>
          <t>ja</t>
        </is>
      </c>
      <c r="Q13" s="10" t="inlineStr">
        <is>
          <t>VI / EN / JP</t>
        </is>
      </c>
    </row>
    <row r="14" ht="22" customHeight="1">
      <c r="A14" s="27" t="n"/>
    </row>
    <row r="15" ht="22" customHeight="1">
      <c r="A15" s="6" t="inlineStr">
        <is>
          <t>Confirm
(Xác nhận)</t>
        </is>
      </c>
      <c r="B15" s="5" t="inlineStr">
        <is>
          <t>Kết quả</t>
        </is>
      </c>
      <c r="F15" s="10" t="inlineStr">
        <is>
          <t>AI dịch chính xác toàn bộ câu hỏi &amp; đáp án sang tiếng Anh</t>
        </is>
      </c>
      <c r="G15" s="10" t="inlineStr">
        <is>
          <t>AI dịch sang tiếng Nhật chuẩn văn phong khảo sát</t>
        </is>
      </c>
      <c r="H15" s="10" t="inlineStr">
        <is>
          <t>AI dịch hoàn tất sang tiếng Tây Ban Nha</t>
        </is>
      </c>
      <c r="I15" s="10" t="inlineStr">
        <is>
          <t>AI dịch sang tiếng Trung giản thể thành công</t>
        </is>
      </c>
      <c r="J15" s="10" t="inlineStr">
        <is>
          <t>AI giữ nguyên biến {{attribute.name}} không làm hỏng code</t>
        </is>
      </c>
      <c r="K15" s="10" t="inlineStr">
        <is>
          <t>Dịch đầy đủ cả các phần tử UI của khảo sát</t>
        </is>
      </c>
      <c r="L15" s="10" t="inlineStr">
        <is>
          <t>Dịch thành công toàn bộ 30 câu hỏi dưới 4 giây</t>
        </is>
      </c>
      <c r="M15" s="10" t="inlineStr">
        <is>
          <t>Hệ thống cho phép đè bản chỉnh sửa thủ công lên AI</t>
        </is>
      </c>
      <c r="N15" s="10" t="inlineStr"/>
      <c r="O15" s="10" t="inlineStr"/>
      <c r="P15" s="10" t="inlineStr">
        <is>
          <t>Bản dịch tiếng Nhật bị xóa, form gốc không ảnh hưởng</t>
        </is>
      </c>
      <c r="Q15" s="10" t="inlineStr">
        <is>
          <t>Form chuyển đổi mượt mà giữa các phiên bản ngôn ngữ</t>
        </is>
      </c>
    </row>
    <row r="16" ht="22" customHeight="1">
      <c r="A16" s="26" t="n"/>
    </row>
    <row r="17" ht="22" customHeight="1">
      <c r="A17" s="26" t="n"/>
      <c r="B17" s="5" t="inlineStr">
        <is>
          <t>Lỗi</t>
        </is>
      </c>
      <c r="F17" s="10" t="inlineStr"/>
      <c r="G17" s="10" t="inlineStr"/>
      <c r="H17" s="10" t="inlineStr"/>
      <c r="I17" s="10" t="inlineStr"/>
      <c r="J17" s="10" t="inlineStr"/>
      <c r="K17" s="10" t="inlineStr"/>
      <c r="L17" s="10" t="inlineStr"/>
      <c r="M17" s="10" t="inlineStr"/>
      <c r="N17" s="28" t="inlineStr">
        <is>
          <t>Ngôn ngữ đích phải khác ngôn ngữ gốc</t>
        </is>
      </c>
      <c r="O17" s="28" t="inlineStr">
        <is>
          <t>Khảo sát chưa có nội dung để thực hiện dịch</t>
        </is>
      </c>
      <c r="P17" s="10" t="inlineStr"/>
      <c r="Q17" s="10" t="inlineStr"/>
    </row>
    <row r="18" ht="22" customHeight="1">
      <c r="A18" s="26" t="n"/>
    </row>
    <row r="19" ht="22" customHeight="1">
      <c r="A19" s="26" t="n"/>
      <c r="B19" s="5" t="inlineStr">
        <is>
          <t>Log</t>
        </is>
      </c>
      <c r="F19" s="10" t="inlineStr">
        <is>
          <t>Translated VI to EN</t>
        </is>
      </c>
      <c r="G19" s="10" t="inlineStr">
        <is>
          <t>Translated EN to JP</t>
        </is>
      </c>
      <c r="H19" s="10" t="inlineStr">
        <is>
          <t>Translated VI to ES</t>
        </is>
      </c>
      <c r="I19" s="10" t="inlineStr">
        <is>
          <t>Translated VI to ZH</t>
        </is>
      </c>
      <c r="J19" s="10" t="inlineStr">
        <is>
          <t>Variables preserved</t>
        </is>
      </c>
      <c r="K19" s="10" t="inlineStr">
        <is>
          <t>UI elements translated</t>
        </is>
      </c>
      <c r="L19" s="10" t="inlineStr">
        <is>
          <t>Bulk translate OK</t>
        </is>
      </c>
      <c r="M19" s="10" t="inlineStr">
        <is>
          <t>Manual override OK</t>
        </is>
      </c>
      <c r="N19" s="10" t="inlineStr">
        <is>
          <t>Same language error</t>
        </is>
      </c>
      <c r="O19" s="10" t="inlineStr">
        <is>
          <t>Empty survey error</t>
        </is>
      </c>
      <c r="P19" s="10" t="inlineStr">
        <is>
          <t>Language removed</t>
        </is>
      </c>
      <c r="Q19" s="10" t="inlineStr">
        <is>
          <t>Multi-lang preview OK</t>
        </is>
      </c>
    </row>
    <row r="20" ht="22" customHeight="1">
      <c r="A20" s="27" t="n"/>
    </row>
    <row r="21" ht="22" customHeight="1">
      <c r="A21" s="29" t="inlineStr">
        <is>
          <t>Result
(Kết quả)</t>
        </is>
      </c>
      <c r="B21" s="30" t="inlineStr">
        <is>
          <t>Type (N : Normal, A : Abnormal, B : Boundary)</t>
        </is>
      </c>
      <c r="C21" s="7" t="n"/>
      <c r="D21" s="7" t="n"/>
      <c r="E21" s="8" t="n"/>
      <c r="F21" s="21" t="inlineStr">
        <is>
          <t>N</t>
        </is>
      </c>
      <c r="G21" s="21" t="inlineStr">
        <is>
          <t>N</t>
        </is>
      </c>
      <c r="H21" s="21" t="inlineStr">
        <is>
          <t>N</t>
        </is>
      </c>
      <c r="I21" s="21" t="inlineStr">
        <is>
          <t>N</t>
        </is>
      </c>
      <c r="J21" s="21" t="inlineStr">
        <is>
          <t>N</t>
        </is>
      </c>
      <c r="K21" s="21" t="inlineStr">
        <is>
          <t>N</t>
        </is>
      </c>
      <c r="L21" s="23" t="inlineStr">
        <is>
          <t>B</t>
        </is>
      </c>
      <c r="M21" s="23" t="inlineStr">
        <is>
          <t>B</t>
        </is>
      </c>
      <c r="N21" s="22" t="inlineStr">
        <is>
          <t>A</t>
        </is>
      </c>
      <c r="O21" s="22" t="inlineStr">
        <is>
          <t>A</t>
        </is>
      </c>
      <c r="P21" s="21" t="inlineStr">
        <is>
          <t>N</t>
        </is>
      </c>
      <c r="Q21" s="21" t="inlineStr">
        <is>
          <t>N</t>
        </is>
      </c>
    </row>
    <row r="22" ht="22" customHeight="1">
      <c r="A22" s="26" t="n"/>
      <c r="B22" s="30" t="inlineStr">
        <is>
          <t>Passed/Failed (Điền P hoặc F)</t>
        </is>
      </c>
      <c r="C22" s="7" t="n"/>
      <c r="D22" s="7" t="n"/>
      <c r="E22" s="8" t="n"/>
    </row>
    <row r="23" ht="22" customHeight="1">
      <c r="A23" s="26" t="n"/>
      <c r="B23" s="30" t="inlineStr">
        <is>
          <t>Executed Date (Ngày test)</t>
        </is>
      </c>
      <c r="C23" s="7" t="n"/>
      <c r="D23" s="7" t="n"/>
      <c r="E23" s="8" t="n"/>
    </row>
    <row r="24" ht="22" customHeight="1">
      <c r="A24" s="27" t="n"/>
      <c r="B24" s="30" t="inlineStr">
        <is>
          <t>Defect ID (Mã lỗi nếu có)</t>
        </is>
      </c>
      <c r="C24" s="7" t="n"/>
      <c r="D24" s="7" t="n"/>
      <c r="E24" s="8" t="n"/>
    </row>
  </sheetData>
  <mergeCells count="25">
    <mergeCell ref="C1:E1"/>
    <mergeCell ref="F5:K5"/>
    <mergeCell ref="A9:A14"/>
    <mergeCell ref="A15:A20"/>
    <mergeCell ref="L5:N5"/>
    <mergeCell ref="B24:E24"/>
    <mergeCell ref="A1:B1"/>
    <mergeCell ref="F2:K2"/>
    <mergeCell ref="A6:B6"/>
    <mergeCell ref="C2:E2"/>
    <mergeCell ref="A21:A24"/>
    <mergeCell ref="A3:B3"/>
    <mergeCell ref="B22:E22"/>
    <mergeCell ref="A2:B2"/>
    <mergeCell ref="B21:E21"/>
    <mergeCell ref="A5:B5"/>
    <mergeCell ref="F1:K1"/>
    <mergeCell ref="C3:E3"/>
    <mergeCell ref="C6:E6"/>
    <mergeCell ref="A4:B4"/>
    <mergeCell ref="B23:E23"/>
    <mergeCell ref="C5:E5"/>
    <mergeCell ref="F6:K6"/>
    <mergeCell ref="C4:Q4"/>
    <mergeCell ref="F3:K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cols>
    <col width="14" customWidth="1" min="1" max="1"/>
    <col width="22" customWidth="1" min="2" max="2"/>
    <col width="10" customWidth="1" min="3" max="3"/>
    <col width="10" customWidth="1" min="4" max="4"/>
    <col width="8"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16" t="inlineStr">
        <is>
          <t>Function Code</t>
        </is>
      </c>
      <c r="B1" s="17" t="n"/>
      <c r="C1" s="18" t="inlineStr">
        <is>
          <t>AI-TOPIC-06</t>
        </is>
      </c>
      <c r="D1" s="7" t="n"/>
      <c r="E1" s="8" t="n"/>
      <c r="F1" s="16" t="inlineStr">
        <is>
          <t>Function Name</t>
        </is>
      </c>
      <c r="G1" s="19" t="n"/>
      <c r="H1" s="19" t="n"/>
      <c r="I1" s="19" t="n"/>
      <c r="J1" s="19" t="n"/>
      <c r="K1" s="17" t="n"/>
      <c r="L1" s="18" t="inlineStr">
        <is>
          <t>AI Native — Phân Tích Cảm Xúc &amp; Cây Chủ Đề Topic/Sub-Topic</t>
        </is>
      </c>
    </row>
    <row r="2" ht="22" customHeight="1">
      <c r="A2" s="6" t="inlineStr">
        <is>
          <t>Created By</t>
        </is>
      </c>
      <c r="B2" s="8" t="n"/>
      <c r="C2" s="20" t="inlineStr">
        <is>
          <t>Chuyên viên QA / Antigravity Team</t>
        </is>
      </c>
      <c r="D2" s="7" t="n"/>
      <c r="E2" s="8" t="n"/>
      <c r="F2" s="6" t="inlineStr">
        <is>
          <t>Executed By</t>
        </is>
      </c>
      <c r="G2" s="7" t="n"/>
      <c r="H2" s="7" t="n"/>
      <c r="I2" s="7" t="n"/>
      <c r="J2" s="7" t="n"/>
      <c r="K2" s="8" t="n"/>
    </row>
    <row r="3" ht="22" customHeight="1">
      <c r="A3" s="6" t="inlineStr">
        <is>
          <t>Lines of code</t>
        </is>
      </c>
      <c r="B3" s="8" t="n"/>
      <c r="C3" s="2" t="inlineStr">
        <is>
          <t>N/A</t>
        </is>
      </c>
      <c r="D3" s="7" t="n"/>
      <c r="E3" s="8" t="n"/>
      <c r="F3" s="6" t="inlineStr">
        <is>
          <t>Lack of test cases</t>
        </is>
      </c>
      <c r="G3" s="7" t="n"/>
      <c r="H3" s="7" t="n"/>
      <c r="I3" s="7" t="n"/>
      <c r="J3" s="7" t="n"/>
      <c r="K3" s="8" t="n"/>
      <c r="L3" s="2" t="n">
        <v>0</v>
      </c>
    </row>
    <row r="4" ht="22" customHeight="1">
      <c r="A4" s="6" t="inlineStr">
        <is>
          <t>Test requirement</t>
        </is>
      </c>
      <c r="B4" s="8" t="n"/>
      <c r="C4" s="2" t="inlineStr">
        <is>
          <t>Kiểm tra độ chính xác phân loại cảm xúc, tự động tạo cây Topic/Sub-topic và biểu đồ xu hướng</t>
        </is>
      </c>
      <c r="D4" s="7" t="n"/>
      <c r="E4" s="7" t="n"/>
      <c r="F4" s="7" t="n"/>
      <c r="G4" s="7" t="n"/>
      <c r="H4" s="7" t="n"/>
      <c r="I4" s="7" t="n"/>
      <c r="J4" s="7" t="n"/>
      <c r="K4" s="7" t="n"/>
      <c r="L4" s="7" t="n"/>
      <c r="M4" s="7" t="n"/>
      <c r="N4" s="7" t="n"/>
      <c r="O4" s="7" t="n"/>
      <c r="P4" s="7" t="n"/>
      <c r="Q4" s="7" t="n"/>
      <c r="R4" s="7" t="n"/>
      <c r="S4" s="7" t="n"/>
      <c r="T4" s="8" t="n"/>
    </row>
    <row r="5" ht="22" customHeight="1">
      <c r="A5" s="21" t="inlineStr">
        <is>
          <t>Passed</t>
        </is>
      </c>
      <c r="B5" s="8" t="n"/>
      <c r="C5" s="22" t="inlineStr">
        <is>
          <t>Failed</t>
        </is>
      </c>
      <c r="D5" s="7" t="n"/>
      <c r="E5" s="8" t="n"/>
      <c r="F5" s="23" t="inlineStr">
        <is>
          <t>Untested</t>
        </is>
      </c>
      <c r="G5" s="7" t="n"/>
      <c r="H5" s="7" t="n"/>
      <c r="I5" s="7" t="n"/>
      <c r="J5" s="7" t="n"/>
      <c r="K5" s="8" t="n"/>
      <c r="L5" s="13" t="inlineStr">
        <is>
          <t>N/A/B Case</t>
        </is>
      </c>
      <c r="M5" s="7" t="n"/>
      <c r="N5" s="8" t="n"/>
      <c r="O5" s="13" t="inlineStr">
        <is>
          <t>Total Test Cases</t>
        </is>
      </c>
    </row>
    <row r="6" ht="22" customHeight="1">
      <c r="A6" s="21">
        <f>COUNTIF(F22:T22,"Passed")</f>
        <v/>
      </c>
      <c r="B6" s="8" t="n"/>
      <c r="C6" s="22">
        <f>COUNTIF(F22:T22,"Failed")</f>
        <v/>
      </c>
      <c r="D6" s="7" t="n"/>
      <c r="E6" s="8" t="n"/>
      <c r="F6" s="23">
        <f>15-A6-C6</f>
        <v/>
      </c>
      <c r="G6" s="7" t="n"/>
      <c r="H6" s="7" t="n"/>
      <c r="I6" s="7" t="n"/>
      <c r="J6" s="7" t="n"/>
      <c r="K6" s="8" t="n"/>
      <c r="L6" s="9">
        <f>COUNTIF(F21:T21,"N")</f>
        <v/>
      </c>
      <c r="M6" s="9">
        <f>COUNTIF(F21:T21,"A")</f>
        <v/>
      </c>
      <c r="N6" s="9">
        <f>COUNTIF(F21:T21,"B")</f>
        <v/>
      </c>
      <c r="O6" s="12" t="n">
        <v>15</v>
      </c>
    </row>
    <row r="7" ht="22" customHeight="1"/>
    <row r="8" ht="70" customHeight="1">
      <c r="F8" s="24" t="inlineStr">
        <is>
          <t>UTCID01</t>
        </is>
      </c>
      <c r="G8" s="24" t="inlineStr">
        <is>
          <t>UTCID02</t>
        </is>
      </c>
      <c r="H8" s="24" t="inlineStr">
        <is>
          <t>UTCID03</t>
        </is>
      </c>
      <c r="I8" s="24" t="inlineStr">
        <is>
          <t>UTCID04</t>
        </is>
      </c>
      <c r="J8" s="24" t="inlineStr">
        <is>
          <t>UTCID05</t>
        </is>
      </c>
      <c r="K8" s="24" t="inlineStr">
        <is>
          <t>UTCID06</t>
        </is>
      </c>
      <c r="L8" s="24" t="inlineStr">
        <is>
          <t>UTCID07</t>
        </is>
      </c>
      <c r="M8" s="24" t="inlineStr">
        <is>
          <t>UTCID08</t>
        </is>
      </c>
      <c r="N8" s="24" t="inlineStr">
        <is>
          <t>UTCID09</t>
        </is>
      </c>
      <c r="O8" s="24" t="inlineStr">
        <is>
          <t>UTCID10</t>
        </is>
      </c>
      <c r="P8" s="24" t="inlineStr">
        <is>
          <t>UTCID11</t>
        </is>
      </c>
      <c r="Q8" s="24" t="inlineStr">
        <is>
          <t>UTCID12</t>
        </is>
      </c>
      <c r="R8" s="24" t="inlineStr">
        <is>
          <t>UTCID13</t>
        </is>
      </c>
      <c r="S8" s="24" t="inlineStr">
        <is>
          <t>UTCID14</t>
        </is>
      </c>
      <c r="T8" s="24" t="inlineStr">
        <is>
          <t>UTCID15</t>
        </is>
      </c>
    </row>
    <row r="9" ht="22" customHeight="1">
      <c r="A9" s="6" t="inlineStr">
        <is>
          <t>Condition
(Điều kiện)</t>
        </is>
      </c>
      <c r="B9" s="5" t="inlineStr">
        <is>
          <t>Input 1 (Dữ liệu vào)</t>
        </is>
      </c>
      <c r="F9" s="25" t="inlineStr">
        <is>
          <t>Phân tích cảm xúc</t>
        </is>
      </c>
      <c r="G9" s="25" t="inlineStr">
        <is>
          <t>Phân tích cảm xúc</t>
        </is>
      </c>
      <c r="H9" s="25" t="inlineStr">
        <is>
          <t>Phân tích cảm xúc</t>
        </is>
      </c>
      <c r="I9" s="25" t="inlineStr">
        <is>
          <t>Tạo Cây Chủ Đề (Topic Tree)</t>
        </is>
      </c>
      <c r="J9" s="25" t="inlineStr">
        <is>
          <t>Tạo Chủ Đề Phụ (Sub-topic)</t>
        </is>
      </c>
      <c r="K9" s="25" t="inlineStr">
        <is>
          <t>Bộ lọc theo Topic</t>
        </is>
      </c>
      <c r="L9" s="25" t="inlineStr">
        <is>
          <t>Biểu đồ phân bổ Cảm xúc</t>
        </is>
      </c>
      <c r="M9" s="25" t="inlineStr">
        <is>
          <t>Cập nhật cây Topic</t>
        </is>
      </c>
      <c r="N9" s="25" t="inlineStr">
        <is>
          <t>Phân tích văn bản Unicode</t>
        </is>
      </c>
      <c r="O9" s="25" t="inlineStr">
        <is>
          <t>Xử lý văn bản rất dài</t>
        </is>
      </c>
      <c r="P9" s="25" t="inlineStr">
        <is>
          <t>Quét cảm xúc dữ liệu rỗng</t>
        </is>
      </c>
      <c r="Q9" s="25" t="inlineStr">
        <is>
          <t>Đổi tên Topic thủ công</t>
        </is>
      </c>
      <c r="R9" s="25" t="inlineStr">
        <is>
          <t>Gộp Topic</t>
        </is>
      </c>
      <c r="S9" s="25" t="inlineStr">
        <is>
          <t>Xuất dữ liệu Topic Tree</t>
        </is>
      </c>
      <c r="T9" s="25" t="inlineStr">
        <is>
          <t>Xóa Node Topic</t>
        </is>
      </c>
    </row>
    <row r="10" ht="22" customHeight="1">
      <c r="A10" s="26" t="n"/>
      <c r="F10" s="10" t="inlineStr">
        <is>
          <t>Phản hồi: 'Sản phẩm tuyệt vời, dịch vụ hỗ trợ rất nhanh!'</t>
        </is>
      </c>
      <c r="G10" s="10" t="inlineStr">
        <is>
          <t>Phản hồi: 'Ứng dụng hay bị giật lag, rất thất vọng.'</t>
        </is>
      </c>
      <c r="H10" s="10" t="inlineStr">
        <is>
          <t>Phản hồi: 'Tôi đã nhận được hàng vào chiều nay.'</t>
        </is>
      </c>
      <c r="I10" s="10" t="inlineStr">
        <is>
          <t>Gom nhóm 50 ý kiến góp ý</t>
        </is>
      </c>
      <c r="J10" s="10" t="inlineStr">
        <is>
          <t>Dưới Topic 'Giao hàng'</t>
        </is>
      </c>
      <c r="K10" s="10" t="inlineStr">
        <is>
          <t>Nhấp chọn Topic 'Thái độ Shipper'</t>
        </is>
      </c>
      <c r="L10" s="10" t="inlineStr">
        <is>
          <t>Xem đồ thị Tích cực/Tiêu cực/Trung tính</t>
        </is>
      </c>
      <c r="M10" s="10" t="inlineStr">
        <is>
          <t>Khi có 20 phản hồi mới gửi về</t>
        </is>
      </c>
      <c r="N10" s="10" t="inlineStr">
        <is>
          <t>Phản hồi kết hợp tiếng Việt + Icon Emoji 🎉 😡</t>
        </is>
      </c>
      <c r="O10" s="10" t="inlineStr">
        <is>
          <t>Đoạn góp ý dài 2000 từ chứa cả khen lẫn chê</t>
        </is>
      </c>
      <c r="P10" s="10" t="inlineStr">
        <is>
          <t>Khảo sát chưa có câu trả lời nào</t>
        </is>
      </c>
      <c r="Q10" s="10" t="inlineStr">
        <is>
          <t>Đổi tên Topic 'Dịch vụ' -&gt; 'Chăm sóc KH'</t>
        </is>
      </c>
      <c r="R10" s="10" t="inlineStr">
        <is>
          <t>Gộp Sub-topic 'Shipper' vào 'Giao nhận'</t>
        </is>
      </c>
      <c r="S10" s="10" t="inlineStr">
        <is>
          <t>Bấm 'Xuất báo cáo Cây Chủ Đề'</t>
        </is>
      </c>
      <c r="T10" s="10" t="inlineStr">
        <is>
          <t>Xóa 1 Sub-topic không cần thiết</t>
        </is>
      </c>
    </row>
    <row r="11" ht="22" customHeight="1">
      <c r="A11" s="26" t="n"/>
    </row>
    <row r="12" ht="22" customHeight="1">
      <c r="A12" s="26" t="n"/>
      <c r="B12" s="5" t="inlineStr">
        <is>
          <t>Input 2 (Dữ liệu vào)</t>
        </is>
      </c>
      <c r="F12" s="25" t="inlineStr">
        <is>
          <t>Nguồn</t>
        </is>
      </c>
      <c r="G12" s="25" t="inlineStr">
        <is>
          <t>Nguồn</t>
        </is>
      </c>
      <c r="H12" s="25" t="inlineStr">
        <is>
          <t>Nguồn</t>
        </is>
      </c>
      <c r="I12" s="25" t="inlineStr">
        <is>
          <t>Màn hình</t>
        </is>
      </c>
      <c r="J12" s="25" t="inlineStr">
        <is>
          <t>Phân nhánh</t>
        </is>
      </c>
      <c r="K12" s="25" t="inlineStr">
        <is>
          <t>Thao tác</t>
        </is>
      </c>
      <c r="L12" s="25" t="inlineStr">
        <is>
          <t>Dạng hiển thị</t>
        </is>
      </c>
      <c r="M12" s="25" t="inlineStr">
        <is>
          <t>Hành động</t>
        </is>
      </c>
      <c r="N12" s="25" t="inlineStr">
        <is>
          <t>Nội dung</t>
        </is>
      </c>
      <c r="O12" s="25" t="inlineStr">
        <is>
          <t>Độ dài</t>
        </is>
      </c>
      <c r="P12" s="25" t="inlineStr">
        <is>
          <t>Dữ liệu</t>
        </is>
      </c>
      <c r="Q12" s="25" t="inlineStr">
        <is>
          <t>Thao tác</t>
        </is>
      </c>
      <c r="R12" s="25" t="inlineStr">
        <is>
          <t>Thao tác</t>
        </is>
      </c>
      <c r="S12" s="25" t="inlineStr">
        <is>
          <t>Định dạng</t>
        </is>
      </c>
      <c r="T12" s="25" t="inlineStr">
        <is>
          <t>Node</t>
        </is>
      </c>
    </row>
    <row r="13" ht="22" customHeight="1">
      <c r="A13" s="26" t="n"/>
      <c r="F13" s="10" t="inlineStr">
        <is>
          <t>Văn bản</t>
        </is>
      </c>
      <c r="G13" s="10" t="inlineStr">
        <is>
          <t>Văn bản</t>
        </is>
      </c>
      <c r="H13" s="10" t="inlineStr">
        <is>
          <t>Văn bản</t>
        </is>
      </c>
      <c r="I13" s="10" t="inlineStr">
        <is>
          <t>Insights Dashboard</t>
        </is>
      </c>
      <c r="J13" s="10" t="inlineStr">
        <is>
          <t>Chi tiết hơn</t>
        </is>
      </c>
      <c r="K13" s="10" t="inlineStr">
        <is>
          <t>Click node cây</t>
        </is>
      </c>
      <c r="L13" s="10" t="inlineStr">
        <is>
          <t>Biểu đồ tròn &amp; Thanh</t>
        </is>
      </c>
      <c r="M13" s="10" t="inlineStr">
        <is>
          <t>Tự động quét lại (Re-scan)</t>
        </is>
      </c>
      <c r="N13" s="10" t="inlineStr">
        <is>
          <t>Text + Emoji</t>
        </is>
      </c>
      <c r="O13" s="10" t="inlineStr">
        <is>
          <t>Rất dài</t>
        </is>
      </c>
      <c r="P13" s="10" t="inlineStr">
        <is>
          <t>0 phản hồi</t>
        </is>
      </c>
      <c r="Q13" s="10" t="inlineStr">
        <is>
          <t>Sửa tên Node</t>
        </is>
      </c>
      <c r="R13" s="10" t="inlineStr">
        <is>
          <t>Merge Node</t>
        </is>
      </c>
      <c r="S13" s="10" t="inlineStr">
        <is>
          <t>File Excel/PDF</t>
        </is>
      </c>
      <c r="T13" s="10" t="inlineStr">
        <is>
          <t>Sub-topic rác</t>
        </is>
      </c>
    </row>
    <row r="14" ht="22" customHeight="1">
      <c r="A14" s="27" t="n"/>
    </row>
    <row r="15" ht="22" customHeight="1">
      <c r="A15" s="6" t="inlineStr">
        <is>
          <t>Confirm
(Xác nhận)</t>
        </is>
      </c>
      <c r="B15" s="5" t="inlineStr">
        <is>
          <t>Kết quả</t>
        </is>
      </c>
      <c r="F15" s="10" t="inlineStr">
        <is>
          <t>AI phân loại: Tích cực (Positive) - Độ tin cậy 98%</t>
        </is>
      </c>
      <c r="G15" s="10" t="inlineStr">
        <is>
          <t>AI phân loại: Tiêu cực (Negative) - Độ tin cậy 95%</t>
        </is>
      </c>
      <c r="H15" s="10" t="inlineStr">
        <is>
          <t>AI phân loại: Trung tính (Neutral) - Độ tin cậy 90%</t>
        </is>
      </c>
      <c r="I15" s="10" t="inlineStr">
        <is>
          <t>AI tự tạo Topic chính: 'Chất lượng sản phẩm' và 'Giao hàng'</t>
        </is>
      </c>
      <c r="J15" s="10" t="inlineStr">
        <is>
          <t>AI phân nhánh Sub-topic: 'Thời gian giao' &amp; 'Thái độ Shipper'</t>
        </is>
      </c>
      <c r="K15" s="10" t="inlineStr">
        <is>
          <t>Danh sách phản hồi bên dưới lọc đúng các phản hồi thuộc Sub-topic đó</t>
        </is>
      </c>
      <c r="L15" s="10" t="inlineStr">
        <is>
          <t>Biểu đồ hiển thị tỷ lệ % cảm xúc chính xác từng mốc</t>
        </is>
      </c>
      <c r="M15" s="10" t="inlineStr">
        <is>
          <t>Cây Topic cập nhật thêm các ý kiến mới vào đúng nhánh</t>
        </is>
      </c>
      <c r="N15" s="10" t="inlineStr">
        <is>
          <t>AI nhận diện đúng cảm xúc chứa Emoji không bị lỗi</t>
        </is>
      </c>
      <c r="O15" s="10" t="inlineStr">
        <is>
          <t>AI tách thành 2 đoạn cảm xúc riêng và gắn vào 2 Topic phù hợp</t>
        </is>
      </c>
      <c r="P15" s="10" t="inlineStr">
        <is>
          <t>Hiển thị trạng thái: 'Đang chờ phản hồi để phân tích cảm xúc'</t>
        </is>
      </c>
      <c r="Q15" s="10" t="inlineStr">
        <is>
          <t>Tên Topic cập nhật trên cây và lưu vào cơ sở dữ liệu</t>
        </is>
      </c>
      <c r="R15" s="10" t="inlineStr">
        <is>
          <t>Các phản hồi được chuyển về chung Topic sau khi gộp</t>
        </is>
      </c>
      <c r="S15" s="10" t="inlineStr">
        <is>
          <t>Xuất file báo cáo cấu trúc Topic &amp; cảm xúc thành công</t>
        </is>
      </c>
      <c r="T15" s="10" t="inlineStr">
        <is>
          <t>Node bị xóa, các phản hồi quay về trạng thái chưa phân loại</t>
        </is>
      </c>
    </row>
    <row r="16" ht="22" customHeight="1">
      <c r="A16" s="26" t="n"/>
    </row>
    <row r="17" ht="22" customHeight="1">
      <c r="A17" s="26" t="n"/>
      <c r="B17" s="5" t="inlineStr">
        <is>
          <t>Lỗi</t>
        </is>
      </c>
      <c r="F17" s="10" t="inlineStr"/>
      <c r="G17" s="10" t="inlineStr"/>
      <c r="H17" s="10" t="inlineStr"/>
      <c r="I17" s="10" t="inlineStr"/>
      <c r="J17" s="10" t="inlineStr"/>
      <c r="K17" s="10" t="inlineStr"/>
      <c r="L17" s="10" t="inlineStr"/>
      <c r="M17" s="10" t="inlineStr"/>
      <c r="N17" s="10" t="inlineStr"/>
      <c r="O17" s="10" t="inlineStr"/>
      <c r="P17" s="10" t="inlineStr"/>
      <c r="Q17" s="10" t="inlineStr"/>
      <c r="R17" s="10" t="inlineStr"/>
      <c r="S17" s="10" t="inlineStr"/>
      <c r="T17" s="10" t="inlineStr"/>
    </row>
    <row r="18" ht="22" customHeight="1">
      <c r="A18" s="26" t="n"/>
    </row>
    <row r="19" ht="22" customHeight="1">
      <c r="A19" s="26" t="n"/>
      <c r="B19" s="5" t="inlineStr">
        <is>
          <t>Log</t>
        </is>
      </c>
      <c r="F19" s="10" t="inlineStr">
        <is>
          <t>Positive sentiment OK</t>
        </is>
      </c>
      <c r="G19" s="10" t="inlineStr">
        <is>
          <t>Negative sentiment OK</t>
        </is>
      </c>
      <c r="H19" s="10" t="inlineStr">
        <is>
          <t>Neutral sentiment OK</t>
        </is>
      </c>
      <c r="I19" s="10" t="inlineStr">
        <is>
          <t>Main topic tree generated</t>
        </is>
      </c>
      <c r="J19" s="10" t="inlineStr">
        <is>
          <t>Sub-topic tree generated</t>
        </is>
      </c>
      <c r="K19" s="10" t="inlineStr">
        <is>
          <t>Topic filter applied</t>
        </is>
      </c>
      <c r="L19" s="10" t="inlineStr">
        <is>
          <t>Sentiment chart OK</t>
        </is>
      </c>
      <c r="M19" s="10" t="inlineStr">
        <is>
          <t>Topic tree re-scanned</t>
        </is>
      </c>
      <c r="N19" s="10" t="inlineStr">
        <is>
          <t>Emoji sentiment OK</t>
        </is>
      </c>
      <c r="O19" s="10" t="inlineStr">
        <is>
          <t>Mixed sentiment split</t>
        </is>
      </c>
      <c r="P19" s="10" t="inlineStr">
        <is>
          <t>Empty sentiment state</t>
        </is>
      </c>
      <c r="Q19" s="10" t="inlineStr">
        <is>
          <t>Topic renamed OK</t>
        </is>
      </c>
      <c r="R19" s="10" t="inlineStr">
        <is>
          <t>Topics merged OK</t>
        </is>
      </c>
      <c r="S19" s="10" t="inlineStr">
        <is>
          <t>Topic report exported</t>
        </is>
      </c>
      <c r="T19" s="10" t="inlineStr">
        <is>
          <t>Topic node deleted</t>
        </is>
      </c>
    </row>
    <row r="20" ht="22" customHeight="1">
      <c r="A20" s="27" t="n"/>
    </row>
    <row r="21" ht="22" customHeight="1">
      <c r="A21" s="29" t="inlineStr">
        <is>
          <t>Result
(Kết quả)</t>
        </is>
      </c>
      <c r="B21" s="30" t="inlineStr">
        <is>
          <t>Type (N : Normal, A : Abnormal, B : Boundary)</t>
        </is>
      </c>
      <c r="C21" s="7" t="n"/>
      <c r="D21" s="7" t="n"/>
      <c r="E21" s="8" t="n"/>
      <c r="F21" s="21" t="inlineStr">
        <is>
          <t>N</t>
        </is>
      </c>
      <c r="G21" s="21" t="inlineStr">
        <is>
          <t>N</t>
        </is>
      </c>
      <c r="H21" s="21" t="inlineStr">
        <is>
          <t>N</t>
        </is>
      </c>
      <c r="I21" s="21" t="inlineStr">
        <is>
          <t>N</t>
        </is>
      </c>
      <c r="J21" s="21" t="inlineStr">
        <is>
          <t>N</t>
        </is>
      </c>
      <c r="K21" s="21" t="inlineStr">
        <is>
          <t>N</t>
        </is>
      </c>
      <c r="L21" s="21" t="inlineStr">
        <is>
          <t>N</t>
        </is>
      </c>
      <c r="M21" s="21" t="inlineStr">
        <is>
          <t>N</t>
        </is>
      </c>
      <c r="N21" s="23" t="inlineStr">
        <is>
          <t>B</t>
        </is>
      </c>
      <c r="O21" s="23" t="inlineStr">
        <is>
          <t>B</t>
        </is>
      </c>
      <c r="P21" s="22" t="inlineStr">
        <is>
          <t>A</t>
        </is>
      </c>
      <c r="Q21" s="21" t="inlineStr">
        <is>
          <t>N</t>
        </is>
      </c>
      <c r="R21" s="21" t="inlineStr">
        <is>
          <t>N</t>
        </is>
      </c>
      <c r="S21" s="21" t="inlineStr">
        <is>
          <t>N</t>
        </is>
      </c>
      <c r="T21" s="21" t="inlineStr">
        <is>
          <t>N</t>
        </is>
      </c>
    </row>
    <row r="22" ht="22" customHeight="1">
      <c r="A22" s="26" t="n"/>
      <c r="B22" s="30" t="inlineStr">
        <is>
          <t>Passed/Failed (Điền P hoặc F)</t>
        </is>
      </c>
      <c r="C22" s="7" t="n"/>
      <c r="D22" s="7" t="n"/>
      <c r="E22" s="8" t="n"/>
    </row>
    <row r="23" ht="22" customHeight="1">
      <c r="A23" s="26" t="n"/>
      <c r="B23" s="30" t="inlineStr">
        <is>
          <t>Executed Date (Ngày test)</t>
        </is>
      </c>
      <c r="C23" s="7" t="n"/>
      <c r="D23" s="7" t="n"/>
      <c r="E23" s="8" t="n"/>
    </row>
    <row r="24" ht="22" customHeight="1">
      <c r="A24" s="27" t="n"/>
      <c r="B24" s="30" t="inlineStr">
        <is>
          <t>Defect ID (Mã lỗi nếu có)</t>
        </is>
      </c>
      <c r="C24" s="7" t="n"/>
      <c r="D24" s="7" t="n"/>
      <c r="E24" s="8" t="n"/>
    </row>
  </sheetData>
  <mergeCells count="25">
    <mergeCell ref="C1:E1"/>
    <mergeCell ref="F5:K5"/>
    <mergeCell ref="A9:A14"/>
    <mergeCell ref="A15:A20"/>
    <mergeCell ref="L5:N5"/>
    <mergeCell ref="B24:E24"/>
    <mergeCell ref="A1:B1"/>
    <mergeCell ref="F2:K2"/>
    <mergeCell ref="A6:B6"/>
    <mergeCell ref="C2:E2"/>
    <mergeCell ref="A21:A24"/>
    <mergeCell ref="A3:B3"/>
    <mergeCell ref="B22:E22"/>
    <mergeCell ref="A2:B2"/>
    <mergeCell ref="B21:E21"/>
    <mergeCell ref="A5:B5"/>
    <mergeCell ref="F1:K1"/>
    <mergeCell ref="C3:E3"/>
    <mergeCell ref="C6:E6"/>
    <mergeCell ref="A4:B4"/>
    <mergeCell ref="B23:E23"/>
    <mergeCell ref="C5:E5"/>
    <mergeCell ref="F6:K6"/>
    <mergeCell ref="F3:K3"/>
    <mergeCell ref="C4:T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cols>
    <col width="14" customWidth="1" min="1" max="1"/>
    <col width="22" customWidth="1" min="2" max="2"/>
    <col width="10" customWidth="1" min="3" max="3"/>
    <col width="10" customWidth="1" min="4" max="4"/>
    <col width="8"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16" t="inlineStr">
        <is>
          <t>Function Code</t>
        </is>
      </c>
      <c r="B1" s="17" t="n"/>
      <c r="C1" s="18" t="inlineStr">
        <is>
          <t>RESP-PIPE-07</t>
        </is>
      </c>
      <c r="D1" s="7" t="n"/>
      <c r="E1" s="8" t="n"/>
      <c r="F1" s="16" t="inlineStr">
        <is>
          <t>Function Name</t>
        </is>
      </c>
      <c r="G1" s="19" t="n"/>
      <c r="H1" s="19" t="n"/>
      <c r="I1" s="19" t="n"/>
      <c r="J1" s="19" t="n"/>
      <c r="K1" s="17" t="n"/>
      <c r="L1" s="18" t="inlineStr">
        <is>
          <t>Phản Hồi, Xuất File &amp; Pipeline Tự Động</t>
        </is>
      </c>
    </row>
    <row r="2" ht="22" customHeight="1">
      <c r="A2" s="6" t="inlineStr">
        <is>
          <t>Created By</t>
        </is>
      </c>
      <c r="B2" s="8" t="n"/>
      <c r="C2" s="20" t="inlineStr">
        <is>
          <t>Chuyên viên QA / Antigravity Team</t>
        </is>
      </c>
      <c r="D2" s="7" t="n"/>
      <c r="E2" s="8" t="n"/>
      <c r="F2" s="6" t="inlineStr">
        <is>
          <t>Executed By</t>
        </is>
      </c>
      <c r="G2" s="7" t="n"/>
      <c r="H2" s="7" t="n"/>
      <c r="I2" s="7" t="n"/>
      <c r="J2" s="7" t="n"/>
      <c r="K2" s="8" t="n"/>
    </row>
    <row r="3" ht="22" customHeight="1">
      <c r="A3" s="6" t="inlineStr">
        <is>
          <t>Lines of code</t>
        </is>
      </c>
      <c r="B3" s="8" t="n"/>
      <c r="C3" s="2" t="inlineStr">
        <is>
          <t>N/A</t>
        </is>
      </c>
      <c r="D3" s="7" t="n"/>
      <c r="E3" s="8" t="n"/>
      <c r="F3" s="6" t="inlineStr">
        <is>
          <t>Lack of test cases</t>
        </is>
      </c>
      <c r="G3" s="7" t="n"/>
      <c r="H3" s="7" t="n"/>
      <c r="I3" s="7" t="n"/>
      <c r="J3" s="7" t="n"/>
      <c r="K3" s="8" t="n"/>
      <c r="L3" s="2" t="n">
        <v>0</v>
      </c>
    </row>
    <row r="4" ht="22" customHeight="1">
      <c r="A4" s="6" t="inlineStr">
        <is>
          <t>Test requirement</t>
        </is>
      </c>
      <c r="B4" s="8" t="n"/>
      <c r="C4" s="2" t="inlineStr">
        <is>
          <t>Kiểm tra ghi nhận phản hồi, xuất báo cáo dữ liệu, kích hoạt Webhook và gửi Email</t>
        </is>
      </c>
      <c r="D4" s="7" t="n"/>
      <c r="E4" s="7" t="n"/>
      <c r="F4" s="7" t="n"/>
      <c r="G4" s="7" t="n"/>
      <c r="H4" s="7" t="n"/>
      <c r="I4" s="7" t="n"/>
      <c r="J4" s="7" t="n"/>
      <c r="K4" s="7" t="n"/>
      <c r="L4" s="7" t="n"/>
      <c r="M4" s="7" t="n"/>
      <c r="N4" s="7" t="n"/>
      <c r="O4" s="7" t="n"/>
      <c r="P4" s="7" t="n"/>
      <c r="Q4" s="7" t="n"/>
      <c r="R4" s="7" t="n"/>
      <c r="S4" s="7" t="n"/>
      <c r="T4" s="8" t="n"/>
    </row>
    <row r="5" ht="22" customHeight="1">
      <c r="A5" s="21" t="inlineStr">
        <is>
          <t>Passed</t>
        </is>
      </c>
      <c r="B5" s="8" t="n"/>
      <c r="C5" s="22" t="inlineStr">
        <is>
          <t>Failed</t>
        </is>
      </c>
      <c r="D5" s="7" t="n"/>
      <c r="E5" s="8" t="n"/>
      <c r="F5" s="23" t="inlineStr">
        <is>
          <t>Untested</t>
        </is>
      </c>
      <c r="G5" s="7" t="n"/>
      <c r="H5" s="7" t="n"/>
      <c r="I5" s="7" t="n"/>
      <c r="J5" s="7" t="n"/>
      <c r="K5" s="8" t="n"/>
      <c r="L5" s="13" t="inlineStr">
        <is>
          <t>N/A/B Case</t>
        </is>
      </c>
      <c r="M5" s="7" t="n"/>
      <c r="N5" s="8" t="n"/>
      <c r="O5" s="13" t="inlineStr">
        <is>
          <t>Total Test Cases</t>
        </is>
      </c>
    </row>
    <row r="6" ht="22" customHeight="1">
      <c r="A6" s="21">
        <f>COUNTIF(F22:T22,"Passed")</f>
        <v/>
      </c>
      <c r="B6" s="8" t="n"/>
      <c r="C6" s="22">
        <f>COUNTIF(F22:T22,"Failed")</f>
        <v/>
      </c>
      <c r="D6" s="7" t="n"/>
      <c r="E6" s="8" t="n"/>
      <c r="F6" s="23">
        <f>15-A6-C6</f>
        <v/>
      </c>
      <c r="G6" s="7" t="n"/>
      <c r="H6" s="7" t="n"/>
      <c r="I6" s="7" t="n"/>
      <c r="J6" s="7" t="n"/>
      <c r="K6" s="8" t="n"/>
      <c r="L6" s="9">
        <f>COUNTIF(F21:T21,"N")</f>
        <v/>
      </c>
      <c r="M6" s="9">
        <f>COUNTIF(F21:T21,"A")</f>
        <v/>
      </c>
      <c r="N6" s="9">
        <f>COUNTIF(F21:T21,"B")</f>
        <v/>
      </c>
      <c r="O6" s="12" t="n">
        <v>15</v>
      </c>
    </row>
    <row r="7" ht="22" customHeight="1"/>
    <row r="8" ht="70" customHeight="1">
      <c r="F8" s="24" t="inlineStr">
        <is>
          <t>UTCID01</t>
        </is>
      </c>
      <c r="G8" s="24" t="inlineStr">
        <is>
          <t>UTCID02</t>
        </is>
      </c>
      <c r="H8" s="24" t="inlineStr">
        <is>
          <t>UTCID03</t>
        </is>
      </c>
      <c r="I8" s="24" t="inlineStr">
        <is>
          <t>UTCID04</t>
        </is>
      </c>
      <c r="J8" s="24" t="inlineStr">
        <is>
          <t>UTCID05</t>
        </is>
      </c>
      <c r="K8" s="24" t="inlineStr">
        <is>
          <t>UTCID06</t>
        </is>
      </c>
      <c r="L8" s="24" t="inlineStr">
        <is>
          <t>UTCID07</t>
        </is>
      </c>
      <c r="M8" s="24" t="inlineStr">
        <is>
          <t>UTCID08</t>
        </is>
      </c>
      <c r="N8" s="24" t="inlineStr">
        <is>
          <t>UTCID09</t>
        </is>
      </c>
      <c r="O8" s="24" t="inlineStr">
        <is>
          <t>UTCID10</t>
        </is>
      </c>
      <c r="P8" s="24" t="inlineStr">
        <is>
          <t>UTCID11</t>
        </is>
      </c>
      <c r="Q8" s="24" t="inlineStr">
        <is>
          <t>UTCID12</t>
        </is>
      </c>
      <c r="R8" s="24" t="inlineStr">
        <is>
          <t>UTCID13</t>
        </is>
      </c>
      <c r="S8" s="24" t="inlineStr">
        <is>
          <t>UTCID14</t>
        </is>
      </c>
      <c r="T8" s="24" t="inlineStr">
        <is>
          <t>UTCID15</t>
        </is>
      </c>
    </row>
    <row r="9" ht="22" customHeight="1">
      <c r="A9" s="6" t="inlineStr">
        <is>
          <t>Condition
(Điều kiện)</t>
        </is>
      </c>
      <c r="B9" s="5" t="inlineStr">
        <is>
          <t>Input 1 (Dữ liệu vào)</t>
        </is>
      </c>
      <c r="F9" s="25" t="inlineStr">
        <is>
          <t>Người dùng gửi form</t>
        </is>
      </c>
      <c r="G9" s="25" t="inlineStr">
        <is>
          <t>Gửi từng phần (Partial)</t>
        </is>
      </c>
      <c r="H9" s="25" t="inlineStr">
        <is>
          <t>Xuất file CSV</t>
        </is>
      </c>
      <c r="I9" s="25" t="inlineStr">
        <is>
          <t>Xuất file Excel</t>
        </is>
      </c>
      <c r="J9" s="25" t="inlineStr">
        <is>
          <t>Bộ lọc theo ngày</t>
        </is>
      </c>
      <c r="K9" s="25" t="inlineStr">
        <is>
          <t>Pipeline Webhook</t>
        </is>
      </c>
      <c r="L9" s="25" t="inlineStr">
        <is>
          <t>Pipeline Email</t>
        </is>
      </c>
      <c r="M9" s="25" t="inlineStr">
        <is>
          <t>Chỉnh sửa phản hồi</t>
        </is>
      </c>
      <c r="N9" s="25" t="inlineStr">
        <is>
          <t>Nội dung Unicode</t>
        </is>
      </c>
      <c r="O9" s="25" t="inlineStr">
        <is>
          <t>Gửi câu trả lời 10000 từ</t>
        </is>
      </c>
      <c r="P9" s="25" t="inlineStr">
        <is>
          <t>Gửi form thiếu câu bắt buộc</t>
        </is>
      </c>
      <c r="Q9" s="25" t="inlineStr">
        <is>
          <t>Gửi form khảo sát đã đóng</t>
        </is>
      </c>
      <c r="R9" s="25" t="inlineStr">
        <is>
          <t>Gửi form không có dữ liệu</t>
        </is>
      </c>
      <c r="S9" s="25" t="inlineStr">
        <is>
          <t>Xóa phản hồi</t>
        </is>
      </c>
      <c r="T9" s="25" t="inlineStr">
        <is>
          <t>Đếm tổng số phản hồi</t>
        </is>
      </c>
    </row>
    <row r="10" ht="22" customHeight="1">
      <c r="A10" s="26" t="n"/>
      <c r="F10" s="10" t="inlineStr">
        <is>
          <t>Trả lời đầy đủ các câu hỏi</t>
        </is>
      </c>
      <c r="G10" s="10" t="inlineStr">
        <is>
          <t>Trả lời 2/5 câu rồi đóng trình duyệt</t>
        </is>
      </c>
      <c r="H10" s="10" t="inlineStr">
        <is>
          <t>Bấm 'Tải báo cáo CSV'</t>
        </is>
      </c>
      <c r="I10" s="10" t="inlineStr">
        <is>
          <t>Bấm 'Tải báo cáo XLSX'</t>
        </is>
      </c>
      <c r="J10" s="10" t="inlineStr">
        <is>
          <t>Lọc phản hồi từ 01/08 đến 08/08</t>
        </is>
      </c>
      <c r="K10" s="10" t="inlineStr">
        <is>
          <t>Cấu hình Webhook khi có phản hồi mới</t>
        </is>
      </c>
      <c r="L10" s="10" t="inlineStr">
        <is>
          <t>Cấu hình gửi mail cho Quản trị viên</t>
        </is>
      </c>
      <c r="M10" s="10" t="inlineStr">
        <is>
          <t>Sửa câu trả lời của phản hồi ID resp_001</t>
        </is>
      </c>
      <c r="N10" s="10" t="inlineStr">
        <is>
          <t>Trả lời chứa ký tự đặc biệt &amp; Emoji</t>
        </is>
      </c>
      <c r="O10" s="10" t="inlineStr">
        <is>
          <t>Văn bản trả lời cực kỳ dài</t>
        </is>
      </c>
      <c r="P10" s="10" t="inlineStr">
        <is>
          <t>Bỏ qua câu hỏi Mandatory Q1</t>
        </is>
      </c>
      <c r="Q10" s="10" t="inlineStr">
        <is>
          <t>Khảo sát đã ở trạng thái Archived</t>
        </is>
      </c>
      <c r="R10" s="10" t="inlineStr">
        <is>
          <t>Payload rỗng {}</t>
        </is>
      </c>
      <c r="S10" s="10" t="inlineStr">
        <is>
          <t>Xóa 1 phản hồi rác ID resp_bad</t>
        </is>
      </c>
      <c r="T10" s="10" t="inlineStr">
        <is>
          <t>Lấy tổng số lượng phản hồi</t>
        </is>
      </c>
    </row>
    <row r="11" ht="22" customHeight="1">
      <c r="A11" s="26" t="n"/>
    </row>
    <row r="12" ht="22" customHeight="1">
      <c r="A12" s="26" t="n"/>
      <c r="B12" s="5" t="inlineStr">
        <is>
          <t>Input 2 (Dữ liệu vào)</t>
        </is>
      </c>
      <c r="F12" s="25" t="inlineStr">
        <is>
          <t>Khảo sát</t>
        </is>
      </c>
      <c r="G12" s="25" t="inlineStr">
        <is>
          <t>Tính năng</t>
        </is>
      </c>
      <c r="H12" s="25" t="inlineStr">
        <is>
          <t>Bộ lọc</t>
        </is>
      </c>
      <c r="I12" s="25" t="inlineStr">
        <is>
          <t>Định dạng</t>
        </is>
      </c>
      <c r="J12" s="25" t="inlineStr">
        <is>
          <t>Thời gian</t>
        </is>
      </c>
      <c r="K12" s="25" t="inlineStr">
        <is>
          <t>URL</t>
        </is>
      </c>
      <c r="L12" s="25" t="inlineStr">
        <is>
          <t>Event</t>
        </is>
      </c>
      <c r="M12" s="25" t="inlineStr">
        <is>
          <t>Người sửa</t>
        </is>
      </c>
      <c r="N12" s="25" t="inlineStr">
        <is>
          <t>Văn bản</t>
        </is>
      </c>
      <c r="O12" s="25" t="inlineStr">
        <is>
          <t>Trường nhập</t>
        </is>
      </c>
      <c r="P12" s="25" t="inlineStr">
        <is>
          <t>Hành động</t>
        </is>
      </c>
      <c r="Q12" s="25" t="inlineStr">
        <is>
          <t>Link form</t>
        </is>
      </c>
      <c r="R12" s="25" t="inlineStr">
        <is>
          <t>Hành động</t>
        </is>
      </c>
      <c r="S12" s="25" t="inlineStr">
        <is>
          <t>Quyền</t>
        </is>
      </c>
      <c r="T12" s="25" t="inlineStr">
        <is>
          <t>Khảo sát</t>
        </is>
      </c>
    </row>
    <row r="13" ht="22" customHeight="1">
      <c r="A13" s="26" t="n"/>
      <c r="F13" s="10" t="inlineStr">
        <is>
          <t>srv_pub_001</t>
        </is>
      </c>
      <c r="G13" s="10" t="inlineStr">
        <is>
          <t>Save partial</t>
        </is>
      </c>
      <c r="H13" s="10" t="inlineStr">
        <is>
          <t>Tất cả phản hồi</t>
        </is>
      </c>
      <c r="I13" s="10" t="inlineStr">
        <is>
          <t>Excel chỉn chu</t>
        </is>
      </c>
      <c r="J13" s="10" t="inlineStr">
        <is>
          <t>7 ngày</t>
        </is>
      </c>
      <c r="K13" s="10" t="inlineStr">
        <is>
          <t>https://api.crm.com/webhook</t>
        </is>
      </c>
      <c r="L13" s="10" t="inlineStr">
        <is>
          <t>Response completed</t>
        </is>
      </c>
      <c r="M13" s="10" t="inlineStr">
        <is>
          <t>Admin</t>
        </is>
      </c>
      <c r="N13" s="10" t="inlineStr">
        <is>
          <t>Cảm ơn nhiều! ❤️ 🎉</t>
        </is>
      </c>
      <c r="O13" s="10" t="inlineStr">
        <is>
          <t>Open text</t>
        </is>
      </c>
      <c r="P13" s="10" t="inlineStr">
        <is>
          <t>Bấm Gửi</t>
        </is>
      </c>
      <c r="Q13" s="10" t="inlineStr">
        <is>
          <t>Public link</t>
        </is>
      </c>
      <c r="R13" s="10" t="inlineStr">
        <is>
          <t>POST /api/responses</t>
        </is>
      </c>
      <c r="S13" s="10" t="inlineStr">
        <is>
          <t>Admin</t>
        </is>
      </c>
      <c r="T13" s="10" t="inlineStr">
        <is>
          <t>srv_pub_001</t>
        </is>
      </c>
    </row>
    <row r="14" ht="22" customHeight="1">
      <c r="A14" s="27" t="n"/>
    </row>
    <row r="15" ht="22" customHeight="1">
      <c r="A15" s="6" t="inlineStr">
        <is>
          <t>Confirm
(Xác nhận)</t>
        </is>
      </c>
      <c r="B15" s="5" t="inlineStr">
        <is>
          <t>Kết quả</t>
        </is>
      </c>
      <c r="F15" s="10" t="inlineStr">
        <is>
          <t>Phản hồi lưu thành công, trạng thái completed</t>
        </is>
      </c>
      <c r="G15" s="10" t="inlineStr">
        <is>
          <t>Lưu phản hồi dở dang với trạng thái inProgress</t>
        </is>
      </c>
      <c r="H15" s="10" t="inlineStr">
        <is>
          <t>Tải về file CSV chứa đầy đủ các cột câu hỏi và câu trả lời</t>
        </is>
      </c>
      <c r="I15" s="10" t="inlineStr">
        <is>
          <t>Tải về file Excel định dạng đẹp chuẩn cột</t>
        </is>
      </c>
      <c r="J15" s="10" t="inlineStr">
        <is>
          <t>Danh sách phản hồi hiển thị đúng mốc thời gian đã chọn</t>
        </is>
      </c>
      <c r="K15" s="10" t="inlineStr">
        <is>
          <t>Dữ liệu phản hồi mới được đẩy ngay sang CRM qua Webhook (200 OK)</t>
        </is>
      </c>
      <c r="L15" s="10" t="inlineStr">
        <is>
          <t>Email thông báo kèm tóm tắt câu trả lời được gửi tức thì</t>
        </is>
      </c>
      <c r="M15" s="10" t="inlineStr">
        <is>
          <t>Nội dung phản hồi cập nhật thành công</t>
        </is>
      </c>
      <c r="N15" s="10" t="inlineStr">
        <is>
          <t>Lưu và xuất file hiển thị nguyên vẹn Unicode</t>
        </is>
      </c>
      <c r="O15" s="10" t="inlineStr">
        <is>
          <t>Lưu trữ thành công không bị cắt xén dữ liệu</t>
        </is>
      </c>
      <c r="P15" s="10" t="inlineStr"/>
      <c r="Q15" s="10" t="inlineStr"/>
      <c r="R15" s="10" t="inlineStr"/>
      <c r="S15" s="10" t="inlineStr">
        <is>
          <t>Phản hồi bị xóa khỏi hệ thống và giảm tổng số đếm</t>
        </is>
      </c>
      <c r="T15" s="10" t="inlineStr">
        <is>
          <t>Trả về con số tổng xác thực (ví dụ: 125 phản hồi)</t>
        </is>
      </c>
    </row>
    <row r="16" ht="22" customHeight="1">
      <c r="A16" s="26" t="n"/>
    </row>
    <row r="17" ht="22" customHeight="1">
      <c r="A17" s="26" t="n"/>
      <c r="B17" s="5" t="inlineStr">
        <is>
          <t>Lỗi</t>
        </is>
      </c>
      <c r="F17" s="10" t="inlineStr"/>
      <c r="G17" s="10" t="inlineStr"/>
      <c r="H17" s="10" t="inlineStr"/>
      <c r="I17" s="10" t="inlineStr"/>
      <c r="J17" s="10" t="inlineStr"/>
      <c r="K17" s="10" t="inlineStr"/>
      <c r="L17" s="10" t="inlineStr"/>
      <c r="M17" s="10" t="inlineStr"/>
      <c r="N17" s="10" t="inlineStr"/>
      <c r="O17" s="10" t="inlineStr"/>
      <c r="P17" s="28" t="inlineStr">
        <is>
          <t>Vui lòng trả lời câu hỏi bắt buộc trước khi gửi</t>
        </is>
      </c>
      <c r="Q17" s="28" t="inlineStr">
        <is>
          <t>Khảo sát này đã kết thúc và ngưng nhận phản hồi</t>
        </is>
      </c>
      <c r="R17" s="28" t="inlineStr">
        <is>
          <t>Dữ liệu gửi lên không hợp lệ</t>
        </is>
      </c>
      <c r="S17" s="10" t="inlineStr"/>
      <c r="T17" s="10" t="inlineStr"/>
    </row>
    <row r="18" ht="22" customHeight="1">
      <c r="A18" s="26" t="n"/>
    </row>
    <row r="19" ht="22" customHeight="1">
      <c r="A19" s="26" t="n"/>
      <c r="B19" s="5" t="inlineStr">
        <is>
          <t>Log</t>
        </is>
      </c>
      <c r="F19" s="10" t="inlineStr">
        <is>
          <t>Response submitted OK</t>
        </is>
      </c>
      <c r="G19" s="10" t="inlineStr">
        <is>
          <t>Partial response saved</t>
        </is>
      </c>
      <c r="H19" s="10" t="inlineStr">
        <is>
          <t>CSV exported OK</t>
        </is>
      </c>
      <c r="I19" s="10" t="inlineStr">
        <is>
          <t>XLSX exported OK</t>
        </is>
      </c>
      <c r="J19" s="10" t="inlineStr">
        <is>
          <t>Date filter applied</t>
        </is>
      </c>
      <c r="K19" s="10" t="inlineStr">
        <is>
          <t>Webhook triggered OK</t>
        </is>
      </c>
      <c r="L19" s="10" t="inlineStr">
        <is>
          <t>Notification email sent</t>
        </is>
      </c>
      <c r="M19" s="10" t="inlineStr">
        <is>
          <t>Response updated</t>
        </is>
      </c>
      <c r="N19" s="10" t="inlineStr">
        <is>
          <t>Unicode text OK</t>
        </is>
      </c>
      <c r="O19" s="10" t="inlineStr">
        <is>
          <t>Huge response saved</t>
        </is>
      </c>
      <c r="P19" s="10" t="inlineStr">
        <is>
          <t>Mandatory error</t>
        </is>
      </c>
      <c r="Q19" s="10" t="inlineStr">
        <is>
          <t>Survey closed error</t>
        </is>
      </c>
      <c r="R19" s="10" t="inlineStr">
        <is>
          <t>Empty payload error</t>
        </is>
      </c>
      <c r="S19" s="10" t="inlineStr">
        <is>
          <t>Response deleted</t>
        </is>
      </c>
      <c r="T19" s="10" t="inlineStr">
        <is>
          <t>Response count OK</t>
        </is>
      </c>
    </row>
    <row r="20" ht="22" customHeight="1">
      <c r="A20" s="27" t="n"/>
    </row>
    <row r="21" ht="22" customHeight="1">
      <c r="A21" s="29" t="inlineStr">
        <is>
          <t>Result
(Kết quả)</t>
        </is>
      </c>
      <c r="B21" s="30" t="inlineStr">
        <is>
          <t>Type (N : Normal, A : Abnormal, B : Boundary)</t>
        </is>
      </c>
      <c r="C21" s="7" t="n"/>
      <c r="D21" s="7" t="n"/>
      <c r="E21" s="8" t="n"/>
      <c r="F21" s="21" t="inlineStr">
        <is>
          <t>N</t>
        </is>
      </c>
      <c r="G21" s="21" t="inlineStr">
        <is>
          <t>N</t>
        </is>
      </c>
      <c r="H21" s="21" t="inlineStr">
        <is>
          <t>N</t>
        </is>
      </c>
      <c r="I21" s="21" t="inlineStr">
        <is>
          <t>N</t>
        </is>
      </c>
      <c r="J21" s="21" t="inlineStr">
        <is>
          <t>N</t>
        </is>
      </c>
      <c r="K21" s="21" t="inlineStr">
        <is>
          <t>N</t>
        </is>
      </c>
      <c r="L21" s="21" t="inlineStr">
        <is>
          <t>N</t>
        </is>
      </c>
      <c r="M21" s="21" t="inlineStr">
        <is>
          <t>N</t>
        </is>
      </c>
      <c r="N21" s="23" t="inlineStr">
        <is>
          <t>B</t>
        </is>
      </c>
      <c r="O21" s="23" t="inlineStr">
        <is>
          <t>B</t>
        </is>
      </c>
      <c r="P21" s="22" t="inlineStr">
        <is>
          <t>A</t>
        </is>
      </c>
      <c r="Q21" s="22" t="inlineStr">
        <is>
          <t>A</t>
        </is>
      </c>
      <c r="R21" s="22" t="inlineStr">
        <is>
          <t>A</t>
        </is>
      </c>
      <c r="S21" s="21" t="inlineStr">
        <is>
          <t>N</t>
        </is>
      </c>
      <c r="T21" s="21" t="inlineStr">
        <is>
          <t>N</t>
        </is>
      </c>
    </row>
    <row r="22" ht="22" customHeight="1">
      <c r="A22" s="26" t="n"/>
      <c r="B22" s="30" t="inlineStr">
        <is>
          <t>Passed/Failed (Điền P hoặc F)</t>
        </is>
      </c>
      <c r="C22" s="7" t="n"/>
      <c r="D22" s="7" t="n"/>
      <c r="E22" s="8" t="n"/>
    </row>
    <row r="23" ht="22" customHeight="1">
      <c r="A23" s="26" t="n"/>
      <c r="B23" s="30" t="inlineStr">
        <is>
          <t>Executed Date (Ngày test)</t>
        </is>
      </c>
      <c r="C23" s="7" t="n"/>
      <c r="D23" s="7" t="n"/>
      <c r="E23" s="8" t="n"/>
    </row>
    <row r="24" ht="22" customHeight="1">
      <c r="A24" s="27" t="n"/>
      <c r="B24" s="30" t="inlineStr">
        <is>
          <t>Defect ID (Mã lỗi nếu có)</t>
        </is>
      </c>
      <c r="C24" s="7" t="n"/>
      <c r="D24" s="7" t="n"/>
      <c r="E24" s="8" t="n"/>
    </row>
  </sheetData>
  <mergeCells count="25">
    <mergeCell ref="C1:E1"/>
    <mergeCell ref="F5:K5"/>
    <mergeCell ref="A9:A14"/>
    <mergeCell ref="A15:A20"/>
    <mergeCell ref="L5:N5"/>
    <mergeCell ref="B24:E24"/>
    <mergeCell ref="A1:B1"/>
    <mergeCell ref="F2:K2"/>
    <mergeCell ref="A6:B6"/>
    <mergeCell ref="C2:E2"/>
    <mergeCell ref="A21:A24"/>
    <mergeCell ref="A3:B3"/>
    <mergeCell ref="B22:E22"/>
    <mergeCell ref="A2:B2"/>
    <mergeCell ref="B21:E21"/>
    <mergeCell ref="A5:B5"/>
    <mergeCell ref="F1:K1"/>
    <mergeCell ref="C3:E3"/>
    <mergeCell ref="C6:E6"/>
    <mergeCell ref="A4:B4"/>
    <mergeCell ref="B23:E23"/>
    <mergeCell ref="C5:E5"/>
    <mergeCell ref="F6:K6"/>
    <mergeCell ref="F3:K3"/>
    <mergeCell ref="C4:T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cols>
    <col width="14" customWidth="1" min="1" max="1"/>
    <col width="22" customWidth="1" min="2" max="2"/>
    <col width="10" customWidth="1" min="3" max="3"/>
    <col width="10" customWidth="1" min="4" max="4"/>
    <col width="8"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16" t="inlineStr">
        <is>
          <t>Function Code</t>
        </is>
      </c>
      <c r="B1" s="17" t="n"/>
      <c r="C1" s="18" t="inlineStr">
        <is>
          <t>WKSP-ORG-08</t>
        </is>
      </c>
      <c r="D1" s="7" t="n"/>
      <c r="E1" s="8" t="n"/>
      <c r="F1" s="16" t="inlineStr">
        <is>
          <t>Function Name</t>
        </is>
      </c>
      <c r="G1" s="19" t="n"/>
      <c r="H1" s="19" t="n"/>
      <c r="I1" s="19" t="n"/>
      <c r="J1" s="19" t="n"/>
      <c r="K1" s="17" t="n"/>
      <c r="L1" s="18" t="inlineStr">
        <is>
          <t>Quản Lý Workspace, Tổ Chức &amp; Phân Quyền</t>
        </is>
      </c>
    </row>
    <row r="2" ht="22" customHeight="1">
      <c r="A2" s="6" t="inlineStr">
        <is>
          <t>Created By</t>
        </is>
      </c>
      <c r="B2" s="8" t="n"/>
      <c r="C2" s="20" t="inlineStr">
        <is>
          <t>Chuyên viên QA / Antigravity Team</t>
        </is>
      </c>
      <c r="D2" s="7" t="n"/>
      <c r="E2" s="8" t="n"/>
      <c r="F2" s="6" t="inlineStr">
        <is>
          <t>Executed By</t>
        </is>
      </c>
      <c r="G2" s="7" t="n"/>
      <c r="H2" s="7" t="n"/>
      <c r="I2" s="7" t="n"/>
      <c r="J2" s="7" t="n"/>
      <c r="K2" s="8" t="n"/>
    </row>
    <row r="3" ht="22" customHeight="1">
      <c r="A3" s="6" t="inlineStr">
        <is>
          <t>Lines of code</t>
        </is>
      </c>
      <c r="B3" s="8" t="n"/>
      <c r="C3" s="2" t="inlineStr">
        <is>
          <t>N/A</t>
        </is>
      </c>
      <c r="D3" s="7" t="n"/>
      <c r="E3" s="8" t="n"/>
      <c r="F3" s="6" t="inlineStr">
        <is>
          <t>Lack of test cases</t>
        </is>
      </c>
      <c r="G3" s="7" t="n"/>
      <c r="H3" s="7" t="n"/>
      <c r="I3" s="7" t="n"/>
      <c r="J3" s="7" t="n"/>
      <c r="K3" s="8" t="n"/>
      <c r="L3" s="2" t="n">
        <v>0</v>
      </c>
    </row>
    <row r="4" ht="22" customHeight="1">
      <c r="A4" s="6" t="inlineStr">
        <is>
          <t>Test requirement</t>
        </is>
      </c>
      <c r="B4" s="8" t="n"/>
      <c r="C4" s="2" t="inlineStr">
        <is>
          <t>Kiểm tra vòng đời Workspace, Tổ chức, phân quyền truy cập và quản lý thành viên</t>
        </is>
      </c>
      <c r="D4" s="7" t="n"/>
      <c r="E4" s="7" t="n"/>
      <c r="F4" s="7" t="n"/>
      <c r="G4" s="7" t="n"/>
      <c r="H4" s="7" t="n"/>
      <c r="I4" s="7" t="n"/>
      <c r="J4" s="7" t="n"/>
      <c r="K4" s="7" t="n"/>
      <c r="L4" s="7" t="n"/>
      <c r="M4" s="7" t="n"/>
      <c r="N4" s="7" t="n"/>
      <c r="O4" s="7" t="n"/>
      <c r="P4" s="7" t="n"/>
      <c r="Q4" s="7" t="n"/>
      <c r="R4" s="7" t="n"/>
      <c r="S4" s="7" t="n"/>
      <c r="T4" s="8" t="n"/>
    </row>
    <row r="5" ht="22" customHeight="1">
      <c r="A5" s="21" t="inlineStr">
        <is>
          <t>Passed</t>
        </is>
      </c>
      <c r="B5" s="8" t="n"/>
      <c r="C5" s="22" t="inlineStr">
        <is>
          <t>Failed</t>
        </is>
      </c>
      <c r="D5" s="7" t="n"/>
      <c r="E5" s="8" t="n"/>
      <c r="F5" s="23" t="inlineStr">
        <is>
          <t>Untested</t>
        </is>
      </c>
      <c r="G5" s="7" t="n"/>
      <c r="H5" s="7" t="n"/>
      <c r="I5" s="7" t="n"/>
      <c r="J5" s="7" t="n"/>
      <c r="K5" s="8" t="n"/>
      <c r="L5" s="13" t="inlineStr">
        <is>
          <t>N/A/B Case</t>
        </is>
      </c>
      <c r="M5" s="7" t="n"/>
      <c r="N5" s="8" t="n"/>
      <c r="O5" s="13" t="inlineStr">
        <is>
          <t>Total Test Cases</t>
        </is>
      </c>
    </row>
    <row r="6" ht="22" customHeight="1">
      <c r="A6" s="21">
        <f>COUNTIF(F22:T22,"Passed")</f>
        <v/>
      </c>
      <c r="B6" s="8" t="n"/>
      <c r="C6" s="22">
        <f>COUNTIF(F22:T22,"Failed")</f>
        <v/>
      </c>
      <c r="D6" s="7" t="n"/>
      <c r="E6" s="8" t="n"/>
      <c r="F6" s="23">
        <f>15-A6-C6</f>
        <v/>
      </c>
      <c r="G6" s="7" t="n"/>
      <c r="H6" s="7" t="n"/>
      <c r="I6" s="7" t="n"/>
      <c r="J6" s="7" t="n"/>
      <c r="K6" s="8" t="n"/>
      <c r="L6" s="9">
        <f>COUNTIF(F21:T21,"N")</f>
        <v/>
      </c>
      <c r="M6" s="9">
        <f>COUNTIF(F21:T21,"A")</f>
        <v/>
      </c>
      <c r="N6" s="9">
        <f>COUNTIF(F21:T21,"B")</f>
        <v/>
      </c>
      <c r="O6" s="12" t="n">
        <v>15</v>
      </c>
    </row>
    <row r="7" ht="22" customHeight="1"/>
    <row r="8" ht="70" customHeight="1">
      <c r="F8" s="24" t="inlineStr">
        <is>
          <t>UTCID01</t>
        </is>
      </c>
      <c r="G8" s="24" t="inlineStr">
        <is>
          <t>UTCID02</t>
        </is>
      </c>
      <c r="H8" s="24" t="inlineStr">
        <is>
          <t>UTCID03</t>
        </is>
      </c>
      <c r="I8" s="24" t="inlineStr">
        <is>
          <t>UTCID04</t>
        </is>
      </c>
      <c r="J8" s="24" t="inlineStr">
        <is>
          <t>UTCID05</t>
        </is>
      </c>
      <c r="K8" s="24" t="inlineStr">
        <is>
          <t>UTCID06</t>
        </is>
      </c>
      <c r="L8" s="24" t="inlineStr">
        <is>
          <t>UTCID07</t>
        </is>
      </c>
      <c r="M8" s="24" t="inlineStr">
        <is>
          <t>UTCID08</t>
        </is>
      </c>
      <c r="N8" s="24" t="inlineStr">
        <is>
          <t>UTCID09</t>
        </is>
      </c>
      <c r="O8" s="24" t="inlineStr">
        <is>
          <t>UTCID10</t>
        </is>
      </c>
      <c r="P8" s="24" t="inlineStr">
        <is>
          <t>UTCID11</t>
        </is>
      </c>
      <c r="Q8" s="24" t="inlineStr">
        <is>
          <t>UTCID12</t>
        </is>
      </c>
      <c r="R8" s="24" t="inlineStr">
        <is>
          <t>UTCID13</t>
        </is>
      </c>
      <c r="S8" s="24" t="inlineStr">
        <is>
          <t>UTCID14</t>
        </is>
      </c>
      <c r="T8" s="24" t="inlineStr">
        <is>
          <t>UTCID15</t>
        </is>
      </c>
    </row>
    <row r="9" ht="22" customHeight="1">
      <c r="A9" s="6" t="inlineStr">
        <is>
          <t>Condition
(Điều kiện)</t>
        </is>
      </c>
      <c r="B9" s="5" t="inlineStr">
        <is>
          <t>Input 1 (Dữ liệu vào)</t>
        </is>
      </c>
      <c r="F9" s="25" t="inlineStr">
        <is>
          <t>Tạo Workspace</t>
        </is>
      </c>
      <c r="G9" s="25" t="inlineStr">
        <is>
          <t>Đổi tên Workspace</t>
        </is>
      </c>
      <c r="H9" s="25" t="inlineStr">
        <is>
          <t>Tạo Thẻ (Tag)</t>
        </is>
      </c>
      <c r="I9" s="25" t="inlineStr">
        <is>
          <t>Gộp Thẻ (Merge Tags)</t>
        </is>
      </c>
      <c r="J9" s="25" t="inlineStr">
        <is>
          <t>Cấu hình Giao diện</t>
        </is>
      </c>
      <c r="K9" s="25" t="inlineStr">
        <is>
          <t>Mời thành viên</t>
        </is>
      </c>
      <c r="L9" s="25" t="inlineStr">
        <is>
          <t>Chấp nhận lời mời</t>
        </is>
      </c>
      <c r="M9" s="25" t="inlineStr">
        <is>
          <t>Thay đổi vai trò</t>
        </is>
      </c>
      <c r="N9" s="25" t="inlineStr">
        <is>
          <t>Thanh toán Gói dịch vụ</t>
        </is>
      </c>
      <c r="O9" s="25" t="inlineStr">
        <is>
          <t>Tạo Workspace tên 1 ký tự</t>
        </is>
      </c>
      <c r="P9" s="25" t="inlineStr">
        <is>
          <t>Tạo Workspace rỗng tên</t>
        </is>
      </c>
      <c r="Q9" s="25" t="inlineStr">
        <is>
          <t>Mời email sai định dạng</t>
        </is>
      </c>
      <c r="R9" s="25" t="inlineStr">
        <is>
          <t>Xóa Chủ sở hữu duy nhất</t>
        </is>
      </c>
      <c r="S9" s="25" t="inlineStr">
        <is>
          <t>Xác nhận xóa Workspace</t>
        </is>
      </c>
      <c r="T9" s="25" t="inlineStr">
        <is>
          <t>Xóa Workspace nhập tên sai</t>
        </is>
      </c>
    </row>
    <row r="10" ht="22" customHeight="1">
      <c r="A10" s="26" t="n"/>
      <c r="F10" s="10" t="inlineStr">
        <is>
          <t>Tên: 'Môi trường Sản xuất'</t>
        </is>
      </c>
      <c r="G10" s="10" t="inlineStr">
        <is>
          <t>Đổi thành 'WS Kinh Doanh 2026'</t>
        </is>
      </c>
      <c r="H10" s="10" t="inlineStr">
        <is>
          <t>Tên thẻ: 'Ưu tiên cao'</t>
        </is>
      </c>
      <c r="I10" s="10" t="inlineStr">
        <is>
          <t>Gộp thẻ 'Khách mới' vào 'Khách tiềm năng'</t>
        </is>
      </c>
      <c r="J10" s="10" t="inlineStr">
        <is>
          <t>Tải Logo thương hiệu &amp; Đổi màu nút</t>
        </is>
      </c>
      <c r="K10" s="10" t="inlineStr">
        <is>
          <t>Email: newstaff@company.com</t>
        </is>
      </c>
      <c r="L10" s="10" t="inlineStr">
        <is>
          <t>Click link trong Email</t>
        </is>
      </c>
      <c r="M10" s="10" t="inlineStr">
        <is>
          <t>Đổi thành viên 'User_A' thành 'Admin'</t>
        </is>
      </c>
      <c r="N10" s="10" t="inlineStr">
        <is>
          <t>Nâng cấp lên gói Enterprise</t>
        </is>
      </c>
      <c r="O10" s="10" t="inlineStr">
        <is>
          <t>Tên WS: 'X'</t>
        </is>
      </c>
      <c r="P10" s="10" t="inlineStr">
        <is>
          <t>Tên WS: (để trống)</t>
        </is>
      </c>
      <c r="Q10" s="10" t="inlineStr">
        <is>
          <t>Email: invalid_email_str</t>
        </is>
      </c>
      <c r="R10" s="10" t="inlineStr">
        <is>
          <t>Hành động xóa Owner khỏi Org</t>
        </is>
      </c>
      <c r="S10" s="10" t="inlineStr">
        <is>
          <t>Nhập tên xác nhận đúng 'WS Kinh Doanh 2026'</t>
        </is>
      </c>
      <c r="T10" s="10" t="inlineStr">
        <is>
          <t>Nhập tên xác nhận sai 'Tên Khác'</t>
        </is>
      </c>
    </row>
    <row r="11" ht="22" customHeight="1">
      <c r="A11" s="26" t="n"/>
    </row>
    <row r="12" ht="22" customHeight="1">
      <c r="A12" s="26" t="n"/>
      <c r="B12" s="5" t="inlineStr">
        <is>
          <t>Input 2 (Dữ liệu vào)</t>
        </is>
      </c>
      <c r="F12" s="25" t="inlineStr">
        <is>
          <t>Tổ chức</t>
        </is>
      </c>
      <c r="G12" s="25" t="inlineStr">
        <is>
          <t>WS ID</t>
        </is>
      </c>
      <c r="H12" s="25" t="inlineStr">
        <is>
          <t>Màu sắc</t>
        </is>
      </c>
      <c r="I12" s="25" t="inlineStr">
        <is>
          <t>Hành động</t>
        </is>
      </c>
      <c r="J12" s="25" t="inlineStr">
        <is>
          <t>Branding</t>
        </is>
      </c>
      <c r="K12" s="25" t="inlineStr">
        <is>
          <t>Vai trò</t>
        </is>
      </c>
      <c r="L12" s="25" t="inlineStr">
        <is>
          <t>Token</t>
        </is>
      </c>
      <c r="M12" s="25" t="inlineStr">
        <is>
          <t>Quyền mới</t>
        </is>
      </c>
      <c r="N12" s="25" t="inlineStr">
        <is>
          <t>Cổng</t>
        </is>
      </c>
      <c r="O12" s="25" t="inlineStr">
        <is>
          <t>Tổ chức</t>
        </is>
      </c>
      <c r="P12" s="25" t="inlineStr">
        <is>
          <t>Tổ chức</t>
        </is>
      </c>
      <c r="Q12" s="25" t="inlineStr">
        <is>
          <t>Vai trò</t>
        </is>
      </c>
      <c r="R12" s="25" t="inlineStr">
        <is>
          <t>User ID</t>
        </is>
      </c>
      <c r="S12" s="25" t="inlineStr">
        <is>
          <t>Hành động</t>
        </is>
      </c>
      <c r="T12" s="25" t="inlineStr">
        <is>
          <t>Hành động</t>
        </is>
      </c>
    </row>
    <row r="13" ht="22" customHeight="1">
      <c r="A13" s="26" t="n"/>
      <c r="F13" s="10" t="inlineStr">
        <is>
          <t>Org_001</t>
        </is>
      </c>
      <c r="G13" s="10" t="inlineStr">
        <is>
          <t>ws_prod_001</t>
        </is>
      </c>
      <c r="H13" s="10" t="inlineStr">
        <is>
          <t>Đỏ #FF0000</t>
        </is>
      </c>
      <c r="I13" s="10" t="inlineStr">
        <is>
          <t>Merge</t>
        </is>
      </c>
      <c r="J13" s="10" t="inlineStr">
        <is>
          <t>Custom</t>
        </is>
      </c>
      <c r="K13" s="10" t="inlineStr">
        <is>
          <t>Manager (Quản lý)</t>
        </is>
      </c>
      <c r="L13" s="10" t="inlineStr">
        <is>
          <t>Token hợp lệ</t>
        </is>
      </c>
      <c r="M13" s="10" t="inlineStr">
        <is>
          <t>Admin</t>
        </is>
      </c>
      <c r="N13" s="10" t="inlineStr">
        <is>
          <t>Stripe</t>
        </is>
      </c>
      <c r="O13" s="10" t="inlineStr">
        <is>
          <t>Org_001</t>
        </is>
      </c>
      <c r="P13" s="10" t="inlineStr">
        <is>
          <t>Org_001</t>
        </is>
      </c>
      <c r="Q13" s="10" t="inlineStr">
        <is>
          <t>Member</t>
        </is>
      </c>
      <c r="R13" s="10" t="inlineStr">
        <is>
          <t>owner_001</t>
        </is>
      </c>
      <c r="S13" s="10" t="inlineStr">
        <is>
          <t>Xóa vĩnh viễn</t>
        </is>
      </c>
      <c r="T13" s="10" t="inlineStr">
        <is>
          <t>Xóa</t>
        </is>
      </c>
    </row>
    <row r="14" ht="22" customHeight="1">
      <c r="A14" s="27" t="n"/>
    </row>
    <row r="15" ht="22" customHeight="1">
      <c r="A15" s="6" t="inlineStr">
        <is>
          <t>Confirm
(Xác nhận)</t>
        </is>
      </c>
      <c r="B15" s="5" t="inlineStr">
        <is>
          <t>Kết quả</t>
        </is>
      </c>
      <c r="F15" s="10" t="inlineStr">
        <is>
          <t>Tạo Workspace mới thành công ID ws_prod_001</t>
        </is>
      </c>
      <c r="G15" s="10" t="inlineStr">
        <is>
          <t>Tên Workspace cập nhật thành công</t>
        </is>
      </c>
      <c r="H15" s="10" t="inlineStr">
        <is>
          <t>Tạo thẻ gắn dấu khảo sát thành công</t>
        </is>
      </c>
      <c r="I15" s="10" t="inlineStr">
        <is>
          <t>Tất cả khảo sát được chuyển sang thẻ mới sau khi gộp</t>
        </is>
      </c>
      <c r="J15" s="10" t="inlineStr">
        <is>
          <t>Giao diện khảo sát áp dụng đúng Logo và nhận diện thương hiệu</t>
        </is>
      </c>
      <c r="K15" s="10" t="inlineStr">
        <is>
          <t>Email mời được gửi đi có chứa Token đăng ký</t>
        </is>
      </c>
      <c r="L15" s="10" t="inlineStr">
        <is>
          <t>Thành viên mới gia nhập thành công vào Tổ chức</t>
        </is>
      </c>
      <c r="M15" s="10" t="inlineStr">
        <is>
          <t>Quyền hạn người dùng cập nhật thành Admin</t>
        </is>
      </c>
      <c r="N15" s="10" t="inlineStr">
        <is>
          <t>Chuyển hướng trang Stripe Checkout thành công</t>
        </is>
      </c>
      <c r="O15" s="10" t="inlineStr">
        <is>
          <t>Tạo Workspace thành công với tên 1 ký tự</t>
        </is>
      </c>
      <c r="P15" s="10" t="inlineStr"/>
      <c r="Q15" s="10" t="inlineStr"/>
      <c r="R15" s="10" t="inlineStr"/>
      <c r="S15" s="10" t="inlineStr">
        <is>
          <t>Workspace bị xóa hoàn toàn khỏi hệ thống</t>
        </is>
      </c>
      <c r="T15" s="10" t="inlineStr"/>
    </row>
    <row r="16" ht="22" customHeight="1">
      <c r="A16" s="26" t="n"/>
    </row>
    <row r="17" ht="22" customHeight="1">
      <c r="A17" s="26" t="n"/>
      <c r="B17" s="5" t="inlineStr">
        <is>
          <t>Lỗi</t>
        </is>
      </c>
      <c r="F17" s="10" t="inlineStr"/>
      <c r="G17" s="10" t="inlineStr"/>
      <c r="H17" s="10" t="inlineStr"/>
      <c r="I17" s="10" t="inlineStr"/>
      <c r="J17" s="10" t="inlineStr"/>
      <c r="K17" s="10" t="inlineStr"/>
      <c r="L17" s="10" t="inlineStr"/>
      <c r="M17" s="10" t="inlineStr"/>
      <c r="N17" s="10" t="inlineStr"/>
      <c r="O17" s="10" t="inlineStr"/>
      <c r="P17" s="28" t="inlineStr">
        <is>
          <t>Tên Workspace không được để trống</t>
        </is>
      </c>
      <c r="Q17" s="28" t="inlineStr">
        <is>
          <t>Định dạng Email người nhận không hợp lệ</t>
        </is>
      </c>
      <c r="R17" s="28" t="inlineStr">
        <is>
          <t>Không thể xóa Chủ sở hữu duy nhất của Tổ chức</t>
        </is>
      </c>
      <c r="S17" s="10" t="inlineStr"/>
      <c r="T17" s="28" t="inlineStr">
        <is>
          <t>Tên xác nhận không khớp, từ chối thao tác xóa</t>
        </is>
      </c>
    </row>
    <row r="18" ht="22" customHeight="1">
      <c r="A18" s="26" t="n"/>
    </row>
    <row r="19" ht="22" customHeight="1">
      <c r="A19" s="26" t="n"/>
      <c r="B19" s="5" t="inlineStr">
        <is>
          <t>Log</t>
        </is>
      </c>
      <c r="F19" s="10" t="inlineStr">
        <is>
          <t>Workspace created</t>
        </is>
      </c>
      <c r="G19" s="10" t="inlineStr">
        <is>
          <t>Workspace renamed</t>
        </is>
      </c>
      <c r="H19" s="10" t="inlineStr">
        <is>
          <t>Tag created</t>
        </is>
      </c>
      <c r="I19" s="10" t="inlineStr">
        <is>
          <t>Tags merged</t>
        </is>
      </c>
      <c r="J19" s="10" t="inlineStr">
        <is>
          <t>Branding updated</t>
        </is>
      </c>
      <c r="K19" s="10" t="inlineStr">
        <is>
          <t>Member invited</t>
        </is>
      </c>
      <c r="L19" s="10" t="inlineStr">
        <is>
          <t>Invite accepted</t>
        </is>
      </c>
      <c r="M19" s="10" t="inlineStr">
        <is>
          <t>Role updated</t>
        </is>
      </c>
      <c r="N19" s="10" t="inlineStr">
        <is>
          <t>Stripe checkout OK</t>
        </is>
      </c>
      <c r="O19" s="10" t="inlineStr">
        <is>
          <t>Min length WS OK</t>
        </is>
      </c>
      <c r="P19" s="10" t="inlineStr">
        <is>
          <t>Workspace name required</t>
        </is>
      </c>
      <c r="Q19" s="10" t="inlineStr">
        <is>
          <t>Bad email format</t>
        </is>
      </c>
      <c r="R19" s="10" t="inlineStr">
        <is>
          <t>Cannot remove owner</t>
        </is>
      </c>
      <c r="S19" s="10" t="inlineStr">
        <is>
          <t>Workspace deleted</t>
        </is>
      </c>
      <c r="T19" s="10" t="inlineStr">
        <is>
          <t>Delete mismatch error</t>
        </is>
      </c>
    </row>
    <row r="20" ht="22" customHeight="1">
      <c r="A20" s="27" t="n"/>
    </row>
    <row r="21" ht="22" customHeight="1">
      <c r="A21" s="29" t="inlineStr">
        <is>
          <t>Result
(Kết quả)</t>
        </is>
      </c>
      <c r="B21" s="30" t="inlineStr">
        <is>
          <t>Type (N : Normal, A : Abnormal, B : Boundary)</t>
        </is>
      </c>
      <c r="C21" s="7" t="n"/>
      <c r="D21" s="7" t="n"/>
      <c r="E21" s="8" t="n"/>
      <c r="F21" s="21" t="inlineStr">
        <is>
          <t>N</t>
        </is>
      </c>
      <c r="G21" s="21" t="inlineStr">
        <is>
          <t>N</t>
        </is>
      </c>
      <c r="H21" s="21" t="inlineStr">
        <is>
          <t>N</t>
        </is>
      </c>
      <c r="I21" s="21" t="inlineStr">
        <is>
          <t>N</t>
        </is>
      </c>
      <c r="J21" s="21" t="inlineStr">
        <is>
          <t>N</t>
        </is>
      </c>
      <c r="K21" s="21" t="inlineStr">
        <is>
          <t>N</t>
        </is>
      </c>
      <c r="L21" s="21" t="inlineStr">
        <is>
          <t>N</t>
        </is>
      </c>
      <c r="M21" s="21" t="inlineStr">
        <is>
          <t>N</t>
        </is>
      </c>
      <c r="N21" s="21" t="inlineStr">
        <is>
          <t>N</t>
        </is>
      </c>
      <c r="O21" s="23" t="inlineStr">
        <is>
          <t>B</t>
        </is>
      </c>
      <c r="P21" s="22" t="inlineStr">
        <is>
          <t>A</t>
        </is>
      </c>
      <c r="Q21" s="22" t="inlineStr">
        <is>
          <t>A</t>
        </is>
      </c>
      <c r="R21" s="22" t="inlineStr">
        <is>
          <t>A</t>
        </is>
      </c>
      <c r="S21" s="21" t="inlineStr">
        <is>
          <t>N</t>
        </is>
      </c>
      <c r="T21" s="22" t="inlineStr">
        <is>
          <t>A</t>
        </is>
      </c>
    </row>
    <row r="22" ht="22" customHeight="1">
      <c r="A22" s="26" t="n"/>
      <c r="B22" s="30" t="inlineStr">
        <is>
          <t>Passed/Failed (Điền P hoặc F)</t>
        </is>
      </c>
      <c r="C22" s="7" t="n"/>
      <c r="D22" s="7" t="n"/>
      <c r="E22" s="8" t="n"/>
    </row>
    <row r="23" ht="22" customHeight="1">
      <c r="A23" s="26" t="n"/>
      <c r="B23" s="30" t="inlineStr">
        <is>
          <t>Executed Date (Ngày test)</t>
        </is>
      </c>
      <c r="C23" s="7" t="n"/>
      <c r="D23" s="7" t="n"/>
      <c r="E23" s="8" t="n"/>
    </row>
    <row r="24" ht="22" customHeight="1">
      <c r="A24" s="27" t="n"/>
      <c r="B24" s="30" t="inlineStr">
        <is>
          <t>Defect ID (Mã lỗi nếu có)</t>
        </is>
      </c>
      <c r="C24" s="7" t="n"/>
      <c r="D24" s="7" t="n"/>
      <c r="E24" s="8" t="n"/>
    </row>
  </sheetData>
  <mergeCells count="25">
    <mergeCell ref="C1:E1"/>
    <mergeCell ref="F5:K5"/>
    <mergeCell ref="A9:A14"/>
    <mergeCell ref="A15:A20"/>
    <mergeCell ref="L5:N5"/>
    <mergeCell ref="B24:E24"/>
    <mergeCell ref="A1:B1"/>
    <mergeCell ref="F2:K2"/>
    <mergeCell ref="A6:B6"/>
    <mergeCell ref="C2:E2"/>
    <mergeCell ref="A21:A24"/>
    <mergeCell ref="A3:B3"/>
    <mergeCell ref="B22:E22"/>
    <mergeCell ref="A2:B2"/>
    <mergeCell ref="B21:E21"/>
    <mergeCell ref="A5:B5"/>
    <mergeCell ref="F1:K1"/>
    <mergeCell ref="C3:E3"/>
    <mergeCell ref="C6:E6"/>
    <mergeCell ref="A4:B4"/>
    <mergeCell ref="B23:E23"/>
    <mergeCell ref="C5:E5"/>
    <mergeCell ref="F6:K6"/>
    <mergeCell ref="F3:K3"/>
    <mergeCell ref="C4:T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cols>
    <col width="14" customWidth="1" min="1" max="1"/>
    <col width="22" customWidth="1" min="2" max="2"/>
    <col width="10" customWidth="1" min="3" max="3"/>
    <col width="10" customWidth="1" min="4" max="4"/>
    <col width="8"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16" t="inlineStr">
        <is>
          <t>Function Code</t>
        </is>
      </c>
      <c r="B1" s="17" t="n"/>
      <c r="C1" s="18" t="inlineStr">
        <is>
          <t>API-STGE-09</t>
        </is>
      </c>
      <c r="D1" s="7" t="n"/>
      <c r="E1" s="8" t="n"/>
      <c r="F1" s="16" t="inlineStr">
        <is>
          <t>Function Name</t>
        </is>
      </c>
      <c r="G1" s="19" t="n"/>
      <c r="H1" s="19" t="n"/>
      <c r="I1" s="19" t="n"/>
      <c r="J1" s="19" t="n"/>
      <c r="K1" s="17" t="n"/>
      <c r="L1" s="18" t="inlineStr">
        <is>
          <t>REST API, Client SDK, MCP Server &amp; Lưu Trữ File</t>
        </is>
      </c>
    </row>
    <row r="2" ht="22" customHeight="1">
      <c r="A2" s="6" t="inlineStr">
        <is>
          <t>Created By</t>
        </is>
      </c>
      <c r="B2" s="8" t="n"/>
      <c r="C2" s="20" t="inlineStr">
        <is>
          <t>Chuyên viên QA / Antigravity Team</t>
        </is>
      </c>
      <c r="D2" s="7" t="n"/>
      <c r="E2" s="8" t="n"/>
      <c r="F2" s="6" t="inlineStr">
        <is>
          <t>Executed By</t>
        </is>
      </c>
      <c r="G2" s="7" t="n"/>
      <c r="H2" s="7" t="n"/>
      <c r="I2" s="7" t="n"/>
      <c r="J2" s="7" t="n"/>
      <c r="K2" s="8" t="n"/>
    </row>
    <row r="3" ht="22" customHeight="1">
      <c r="A3" s="6" t="inlineStr">
        <is>
          <t>Lines of code</t>
        </is>
      </c>
      <c r="B3" s="8" t="n"/>
      <c r="C3" s="2" t="inlineStr">
        <is>
          <t>N/A</t>
        </is>
      </c>
      <c r="D3" s="7" t="n"/>
      <c r="E3" s="8" t="n"/>
      <c r="F3" s="6" t="inlineStr">
        <is>
          <t>Lack of test cases</t>
        </is>
      </c>
      <c r="G3" s="7" t="n"/>
      <c r="H3" s="7" t="n"/>
      <c r="I3" s="7" t="n"/>
      <c r="J3" s="7" t="n"/>
      <c r="K3" s="8" t="n"/>
      <c r="L3" s="2" t="n">
        <v>0</v>
      </c>
    </row>
    <row r="4" ht="22" customHeight="1">
      <c r="A4" s="6" t="inlineStr">
        <is>
          <t>Test requirement</t>
        </is>
      </c>
      <c r="B4" s="8" t="n"/>
      <c r="C4" s="2" t="inlineStr">
        <is>
          <t>Kiểm tra tính đúng đắn của API endpoints, tải file, bảo mật API Key và Rate Limiting</t>
        </is>
      </c>
      <c r="D4" s="7" t="n"/>
      <c r="E4" s="7" t="n"/>
      <c r="F4" s="7" t="n"/>
      <c r="G4" s="7" t="n"/>
      <c r="H4" s="7" t="n"/>
      <c r="I4" s="7" t="n"/>
      <c r="J4" s="7" t="n"/>
      <c r="K4" s="7" t="n"/>
      <c r="L4" s="7" t="n"/>
      <c r="M4" s="7" t="n"/>
      <c r="N4" s="7" t="n"/>
      <c r="O4" s="7" t="n"/>
      <c r="P4" s="7" t="n"/>
      <c r="Q4" s="7" t="n"/>
      <c r="R4" s="7" t="n"/>
      <c r="S4" s="7" t="n"/>
      <c r="T4" s="8" t="n"/>
    </row>
    <row r="5" ht="22" customHeight="1">
      <c r="A5" s="21" t="inlineStr">
        <is>
          <t>Passed</t>
        </is>
      </c>
      <c r="B5" s="8" t="n"/>
      <c r="C5" s="22" t="inlineStr">
        <is>
          <t>Failed</t>
        </is>
      </c>
      <c r="D5" s="7" t="n"/>
      <c r="E5" s="8" t="n"/>
      <c r="F5" s="23" t="inlineStr">
        <is>
          <t>Untested</t>
        </is>
      </c>
      <c r="G5" s="7" t="n"/>
      <c r="H5" s="7" t="n"/>
      <c r="I5" s="7" t="n"/>
      <c r="J5" s="7" t="n"/>
      <c r="K5" s="8" t="n"/>
      <c r="L5" s="13" t="inlineStr">
        <is>
          <t>N/A/B Case</t>
        </is>
      </c>
      <c r="M5" s="7" t="n"/>
      <c r="N5" s="8" t="n"/>
      <c r="O5" s="13" t="inlineStr">
        <is>
          <t>Total Test Cases</t>
        </is>
      </c>
    </row>
    <row r="6" ht="22" customHeight="1">
      <c r="A6" s="21">
        <f>COUNTIF(F22:T22,"Passed")</f>
        <v/>
      </c>
      <c r="B6" s="8" t="n"/>
      <c r="C6" s="22">
        <f>COUNTIF(F22:T22,"Failed")</f>
        <v/>
      </c>
      <c r="D6" s="7" t="n"/>
      <c r="E6" s="8" t="n"/>
      <c r="F6" s="23">
        <f>15-A6-C6</f>
        <v/>
      </c>
      <c r="G6" s="7" t="n"/>
      <c r="H6" s="7" t="n"/>
      <c r="I6" s="7" t="n"/>
      <c r="J6" s="7" t="n"/>
      <c r="K6" s="8" t="n"/>
      <c r="L6" s="9">
        <f>COUNTIF(F21:T21,"N")</f>
        <v/>
      </c>
      <c r="M6" s="9">
        <f>COUNTIF(F21:T21,"A")</f>
        <v/>
      </c>
      <c r="N6" s="9">
        <f>COUNTIF(F21:T21,"B")</f>
        <v/>
      </c>
      <c r="O6" s="12" t="n">
        <v>15</v>
      </c>
    </row>
    <row r="7" ht="22" customHeight="1"/>
    <row r="8" ht="70" customHeight="1">
      <c r="F8" s="24" t="inlineStr">
        <is>
          <t>UTCID01</t>
        </is>
      </c>
      <c r="G8" s="24" t="inlineStr">
        <is>
          <t>UTCID02</t>
        </is>
      </c>
      <c r="H8" s="24" t="inlineStr">
        <is>
          <t>UTCID03</t>
        </is>
      </c>
      <c r="I8" s="24" t="inlineStr">
        <is>
          <t>UTCID04</t>
        </is>
      </c>
      <c r="J8" s="24" t="inlineStr">
        <is>
          <t>UTCID05</t>
        </is>
      </c>
      <c r="K8" s="24" t="inlineStr">
        <is>
          <t>UTCID06</t>
        </is>
      </c>
      <c r="L8" s="24" t="inlineStr">
        <is>
          <t>UTCID07</t>
        </is>
      </c>
      <c r="M8" s="24" t="inlineStr">
        <is>
          <t>UTCID08</t>
        </is>
      </c>
      <c r="N8" s="24" t="inlineStr">
        <is>
          <t>UTCID09</t>
        </is>
      </c>
      <c r="O8" s="24" t="inlineStr">
        <is>
          <t>UTCID10</t>
        </is>
      </c>
      <c r="P8" s="24" t="inlineStr">
        <is>
          <t>UTCID11</t>
        </is>
      </c>
      <c r="Q8" s="24" t="inlineStr">
        <is>
          <t>UTCID12</t>
        </is>
      </c>
      <c r="R8" s="24" t="inlineStr">
        <is>
          <t>UTCID13</t>
        </is>
      </c>
      <c r="S8" s="24" t="inlineStr">
        <is>
          <t>UTCID14</t>
        </is>
      </c>
      <c r="T8" s="24" t="inlineStr">
        <is>
          <t>UTCID15</t>
        </is>
      </c>
    </row>
    <row r="9" ht="22" customHeight="1">
      <c r="A9" s="6" t="inlineStr">
        <is>
          <t>Condition
(Điều kiện)</t>
        </is>
      </c>
      <c r="B9" s="5" t="inlineStr">
        <is>
          <t>Input 1 (Dữ liệu vào)</t>
        </is>
      </c>
      <c r="F9" s="25" t="inlineStr">
        <is>
          <t>API Key</t>
        </is>
      </c>
      <c r="G9" s="25" t="inlineStr">
        <is>
          <t>Tạo khảo sát qua API</t>
        </is>
      </c>
      <c r="H9" s="25" t="inlineStr">
        <is>
          <t>Client SDK Endpoint</t>
        </is>
      </c>
      <c r="I9" s="25" t="inlineStr">
        <is>
          <t>Gửi phản hồi qua SDK</t>
        </is>
      </c>
      <c r="J9" s="25" t="inlineStr">
        <is>
          <t>MCP Tool Execution</t>
        </is>
      </c>
      <c r="K9" s="25" t="inlineStr">
        <is>
          <t>Tải file ảnh lên Storage</t>
        </is>
      </c>
      <c r="L9" s="25" t="inlineStr">
        <is>
          <t>Tải file báo cáo về</t>
        </is>
      </c>
      <c r="M9" s="25" t="inlineStr">
        <is>
          <t>Xóa file trên Storage</t>
        </is>
      </c>
      <c r="N9" s="25" t="inlineStr">
        <is>
          <t>Vượt giới hạn Rate Limit</t>
        </is>
      </c>
      <c r="O9" s="25" t="inlineStr">
        <is>
          <t>Tải file kích thước lớn</t>
        </is>
      </c>
      <c r="P9" s="25" t="inlineStr">
        <is>
          <t>Truy cập API Key không hợp lệ</t>
        </is>
      </c>
      <c r="Q9" s="25" t="inlineStr">
        <is>
          <t>Truy cập thiếu API Key</t>
        </is>
      </c>
      <c r="R9" s="25" t="inlineStr">
        <is>
          <t>Gửi JSON sai định dạng</t>
        </is>
      </c>
      <c r="S9" s="25" t="inlineStr">
        <is>
          <t>Tải file định dạng độc hại</t>
        </is>
      </c>
      <c r="T9" s="25" t="inlineStr">
        <is>
          <t>Truy vấn Endpoint không tồn tại</t>
        </is>
      </c>
    </row>
    <row r="10" ht="22" customHeight="1">
      <c r="A10" s="26" t="n"/>
      <c r="F10" s="10" t="inlineStr">
        <is>
          <t>X-Api-Key hợp lệ</t>
        </is>
      </c>
      <c r="G10" s="10" t="inlineStr">
        <is>
          <t>POST /api/v3/surveys</t>
        </is>
      </c>
      <c r="H10" s="10" t="inlineStr">
        <is>
          <t>GET /api/v1/client/ws_001/environment</t>
        </is>
      </c>
      <c r="I10" s="10" t="inlineStr">
        <is>
          <t>POST /api/v1/client/ws_001/responses</t>
        </is>
      </c>
      <c r="J10" s="10" t="inlineStr">
        <is>
          <t>Tool: 'List surveys in workspace'</t>
        </is>
      </c>
      <c r="K10" s="10" t="inlineStr">
        <is>
          <t>File: logo.png (500 KB)</t>
        </is>
      </c>
      <c r="L10" s="10" t="inlineStr">
        <is>
          <t>GET /api/storage/files/file_001/download</t>
        </is>
      </c>
      <c r="M10" s="10" t="inlineStr">
        <is>
          <t>DELETE /api/storage/files/file_001</t>
        </is>
      </c>
      <c r="N10" s="10" t="inlineStr">
        <is>
          <t>Gửi 120 yêu cầu / 60 giây</t>
        </is>
      </c>
      <c r="O10" s="10" t="inlineStr">
        <is>
          <t>File: data_heavy.zip (100 MB)</t>
        </is>
      </c>
      <c r="P10" s="10" t="inlineStr">
        <is>
          <t>Header: X-Api-Key 'invalid_key'</t>
        </is>
      </c>
      <c r="Q10" s="10" t="inlineStr">
        <is>
          <t>Header: (bỏ trống X-Api-Key)</t>
        </is>
      </c>
      <c r="R10" s="10" t="inlineStr">
        <is>
          <t>POST /api/v3/surveys</t>
        </is>
      </c>
      <c r="S10" s="10" t="inlineStr">
        <is>
          <t>File: script.exe</t>
        </is>
      </c>
      <c r="T10" s="10" t="inlineStr">
        <is>
          <t>GET /api/v3/non_existent_route</t>
        </is>
      </c>
    </row>
    <row r="11" ht="22" customHeight="1">
      <c r="A11" s="26" t="n"/>
    </row>
    <row r="12" ht="22" customHeight="1">
      <c r="A12" s="26" t="n"/>
      <c r="B12" s="5" t="inlineStr">
        <is>
          <t>Input 2 (Dữ liệu vào)</t>
        </is>
      </c>
      <c r="F12" s="25" t="inlineStr">
        <is>
          <t>Endpoint</t>
        </is>
      </c>
      <c r="G12" s="25" t="inlineStr">
        <is>
          <t>Body</t>
        </is>
      </c>
      <c r="H12" s="25" t="inlineStr">
        <is>
          <t>Client ID</t>
        </is>
      </c>
      <c r="I12" s="25" t="inlineStr">
        <is>
          <t>Body</t>
        </is>
      </c>
      <c r="J12" s="25" t="inlineStr">
        <is>
          <t>Session</t>
        </is>
      </c>
      <c r="K12" s="25" t="inlineStr">
        <is>
          <t>Workspace</t>
        </is>
      </c>
      <c r="L12" s="25" t="inlineStr">
        <is>
          <t>Action</t>
        </is>
      </c>
      <c r="M12" s="25" t="inlineStr">
        <is>
          <t>Quyền</t>
        </is>
      </c>
      <c r="N12" s="25" t="inlineStr">
        <is>
          <t>Endpoint</t>
        </is>
      </c>
      <c r="O12" s="25" t="inlineStr">
        <is>
          <t>Giới hạn</t>
        </is>
      </c>
      <c r="P12" s="25" t="inlineStr">
        <is>
          <t>Endpoint</t>
        </is>
      </c>
      <c r="Q12" s="25" t="inlineStr">
        <is>
          <t>Endpoint</t>
        </is>
      </c>
      <c r="R12" s="25" t="inlineStr">
        <is>
          <t>Body</t>
        </is>
      </c>
      <c r="S12" s="25" t="inlineStr">
        <is>
          <t>Kiểm duyệt</t>
        </is>
      </c>
      <c r="T12" s="25" t="inlineStr">
        <is>
          <t>Key</t>
        </is>
      </c>
    </row>
    <row r="13" ht="22" customHeight="1">
      <c r="A13" s="26" t="n"/>
      <c r="F13" s="10" t="inlineStr">
        <is>
          <t>GET /api/v3/surveys</t>
        </is>
      </c>
      <c r="G13" s="10" t="inlineStr">
        <is>
          <t>JSON cấu trúc form</t>
        </is>
      </c>
      <c r="H13" s="10" t="inlineStr">
        <is>
          <t>ws_001</t>
        </is>
      </c>
      <c r="I13" s="10" t="inlineStr">
        <is>
          <t>Payload câu trả lời</t>
        </is>
      </c>
      <c r="J13" s="10" t="inlineStr">
        <is>
          <t>MCP Active</t>
        </is>
      </c>
      <c r="K13" s="10" t="inlineStr">
        <is>
          <t>ws_001</t>
        </is>
      </c>
      <c r="L13" s="10" t="inlineStr">
        <is>
          <t>Download</t>
        </is>
      </c>
      <c r="M13" s="10" t="inlineStr">
        <is>
          <t>Admin</t>
        </is>
      </c>
      <c r="N13" s="10" t="inlineStr">
        <is>
          <t>GET /api/v3/surveys</t>
        </is>
      </c>
      <c r="O13" s="10" t="inlineStr">
        <is>
          <t>Max 10 MB</t>
        </is>
      </c>
      <c r="P13" s="10" t="inlineStr">
        <is>
          <t>GET /api/v3/surveys</t>
        </is>
      </c>
      <c r="Q13" s="10" t="inlineStr">
        <is>
          <t>GET /api/v3/surveys</t>
        </is>
      </c>
      <c r="R13" s="10" t="inlineStr">
        <is>
          <t>Invalid JSON {abc}</t>
        </is>
      </c>
      <c r="S13" s="10" t="inlineStr">
        <is>
          <t>Allowed MIME types</t>
        </is>
      </c>
      <c r="T13" s="10" t="inlineStr">
        <is>
          <t>Valid Key</t>
        </is>
      </c>
    </row>
    <row r="14" ht="22" customHeight="1">
      <c r="A14" s="27" t="n"/>
    </row>
    <row r="15" ht="22" customHeight="1">
      <c r="A15" s="6" t="inlineStr">
        <is>
          <t>Confirm
(Xác nhận)</t>
        </is>
      </c>
      <c r="B15" s="5" t="inlineStr">
        <is>
          <t>Kết quả</t>
        </is>
      </c>
      <c r="F15" s="10" t="inlineStr">
        <is>
          <t>200 OK, trả về danh sách toàn bộ khảo sát dạng JSON</t>
        </is>
      </c>
      <c r="G15" s="10" t="inlineStr">
        <is>
          <t>201 Created, tạo thành công khảo sát mới</t>
        </is>
      </c>
      <c r="H15" s="10" t="inlineStr">
        <is>
          <t>200 OK, trả về cấu hình môi trường cho Website SDK</t>
        </is>
      </c>
      <c r="I15" s="10" t="inlineStr">
        <is>
          <t>201 Created, phản hồi ghi nhận qua SDK thành công</t>
        </is>
      </c>
      <c r="J15" s="10" t="inlineStr">
        <is>
          <t>MCP Server trả lời chuẩn cấu trúc dữ liệu khảo sát</t>
        </is>
      </c>
      <c r="K15" s="10" t="inlineStr">
        <is>
          <t>Tải lên thành công, trả về đường dẫn Signed URL</t>
        </is>
      </c>
      <c r="L15" s="10" t="inlineStr">
        <is>
          <t>Stream dữ liệu file tải về chính xác Content-Type</t>
        </is>
      </c>
      <c r="M15" s="10" t="inlineStr">
        <is>
          <t>File bị xóa vĩnh viễn trên S3/Local Storage</t>
        </is>
      </c>
      <c r="N15" s="10" t="inlineStr"/>
      <c r="O15" s="10" t="inlineStr"/>
      <c r="P15" s="10" t="inlineStr"/>
      <c r="Q15" s="10" t="inlineStr"/>
      <c r="R15" s="10" t="inlineStr"/>
      <c r="S15" s="10" t="inlineStr"/>
      <c r="T15" s="10" t="inlineStr"/>
    </row>
    <row r="16" ht="22" customHeight="1">
      <c r="A16" s="26" t="n"/>
    </row>
    <row r="17" ht="22" customHeight="1">
      <c r="A17" s="26" t="n"/>
      <c r="B17" s="5" t="inlineStr">
        <is>
          <t>Lỗi</t>
        </is>
      </c>
      <c r="F17" s="10" t="inlineStr"/>
      <c r="G17" s="10" t="inlineStr"/>
      <c r="H17" s="10" t="inlineStr"/>
      <c r="I17" s="10" t="inlineStr"/>
      <c r="J17" s="10" t="inlineStr"/>
      <c r="K17" s="10" t="inlineStr"/>
      <c r="L17" s="10" t="inlineStr"/>
      <c r="M17" s="10" t="inlineStr"/>
      <c r="N17" s="28" t="inlineStr">
        <is>
          <t>429 Too Many Requests (Vượt giới hạn tốc độ truy cập)</t>
        </is>
      </c>
      <c r="O17" s="28" t="inlineStr">
        <is>
          <t>413 Payload Too Large (File vượt quá dung lượng tối đa)</t>
        </is>
      </c>
      <c r="P17" s="28" t="inlineStr">
        <is>
          <t>401 Unauthorized (Khóa API không chính xác)</t>
        </is>
      </c>
      <c r="Q17" s="28" t="inlineStr">
        <is>
          <t>401 Unauthorized (Thiếu mã xác thực API)</t>
        </is>
      </c>
      <c r="R17" s="28" t="inlineStr">
        <is>
          <t>400 Bad Request (Định dạng dữ liệu gửi lên bị lỗi)</t>
        </is>
      </c>
      <c r="S17" s="28" t="inlineStr">
        <is>
          <t>400 Bad Request (Loại file không được phép lưu trữ)</t>
        </is>
      </c>
      <c r="T17" s="28" t="inlineStr">
        <is>
          <t>404 Not Found (Đường dẫn API không tồn tại)</t>
        </is>
      </c>
    </row>
    <row r="18" ht="22" customHeight="1">
      <c r="A18" s="26" t="n"/>
    </row>
    <row r="19" ht="22" customHeight="1">
      <c r="A19" s="26" t="n"/>
      <c r="B19" s="5" t="inlineStr">
        <is>
          <t>Log</t>
        </is>
      </c>
      <c r="F19" s="10" t="inlineStr">
        <is>
          <t>API v3 surveys fetched</t>
        </is>
      </c>
      <c r="G19" s="10" t="inlineStr">
        <is>
          <t>API survey created</t>
        </is>
      </c>
      <c r="H19" s="10" t="inlineStr">
        <is>
          <t>SDK env loaded</t>
        </is>
      </c>
      <c r="I19" s="10" t="inlineStr">
        <is>
          <t>SDK response saved</t>
        </is>
      </c>
      <c r="J19" s="10" t="inlineStr">
        <is>
          <t>MCP tool executed</t>
        </is>
      </c>
      <c r="K19" s="10" t="inlineStr">
        <is>
          <t>File uploaded OK</t>
        </is>
      </c>
      <c r="L19" s="10" t="inlineStr">
        <is>
          <t>File downloaded OK</t>
        </is>
      </c>
      <c r="M19" s="10" t="inlineStr">
        <is>
          <t>File deleted OK</t>
        </is>
      </c>
      <c r="N19" s="10" t="inlineStr">
        <is>
          <t>Rate limit 429</t>
        </is>
      </c>
      <c r="O19" s="10" t="inlineStr">
        <is>
          <t>File size exceeded</t>
        </is>
      </c>
      <c r="P19" s="10" t="inlineStr">
        <is>
          <t>401 Bad Key</t>
        </is>
      </c>
      <c r="Q19" s="10" t="inlineStr">
        <is>
          <t>401 Missing Key</t>
        </is>
      </c>
      <c r="R19" s="10" t="inlineStr">
        <is>
          <t>400 Invalid JSON</t>
        </is>
      </c>
      <c r="S19" s="10" t="inlineStr">
        <is>
          <t>Blocked file type</t>
        </is>
      </c>
      <c r="T19" s="10" t="inlineStr">
        <is>
          <t>404 Route not found</t>
        </is>
      </c>
    </row>
    <row r="20" ht="22" customHeight="1">
      <c r="A20" s="27" t="n"/>
    </row>
    <row r="21" ht="22" customHeight="1">
      <c r="A21" s="29" t="inlineStr">
        <is>
          <t>Result
(Kết quả)</t>
        </is>
      </c>
      <c r="B21" s="30" t="inlineStr">
        <is>
          <t>Type (N : Normal, A : Abnormal, B : Boundary)</t>
        </is>
      </c>
      <c r="C21" s="7" t="n"/>
      <c r="D21" s="7" t="n"/>
      <c r="E21" s="8" t="n"/>
      <c r="F21" s="21" t="inlineStr">
        <is>
          <t>N</t>
        </is>
      </c>
      <c r="G21" s="21" t="inlineStr">
        <is>
          <t>N</t>
        </is>
      </c>
      <c r="H21" s="21" t="inlineStr">
        <is>
          <t>N</t>
        </is>
      </c>
      <c r="I21" s="21" t="inlineStr">
        <is>
          <t>N</t>
        </is>
      </c>
      <c r="J21" s="21" t="inlineStr">
        <is>
          <t>N</t>
        </is>
      </c>
      <c r="K21" s="21" t="inlineStr">
        <is>
          <t>N</t>
        </is>
      </c>
      <c r="L21" s="21" t="inlineStr">
        <is>
          <t>N</t>
        </is>
      </c>
      <c r="M21" s="21" t="inlineStr">
        <is>
          <t>N</t>
        </is>
      </c>
      <c r="N21" s="23" t="inlineStr">
        <is>
          <t>B</t>
        </is>
      </c>
      <c r="O21" s="23" t="inlineStr">
        <is>
          <t>B</t>
        </is>
      </c>
      <c r="P21" s="22" t="inlineStr">
        <is>
          <t>A</t>
        </is>
      </c>
      <c r="Q21" s="22" t="inlineStr">
        <is>
          <t>A</t>
        </is>
      </c>
      <c r="R21" s="22" t="inlineStr">
        <is>
          <t>A</t>
        </is>
      </c>
      <c r="S21" s="22" t="inlineStr">
        <is>
          <t>A</t>
        </is>
      </c>
      <c r="T21" s="22" t="inlineStr">
        <is>
          <t>A</t>
        </is>
      </c>
    </row>
    <row r="22" ht="22" customHeight="1">
      <c r="A22" s="26" t="n"/>
      <c r="B22" s="30" t="inlineStr">
        <is>
          <t>Passed/Failed (Điền P hoặc F)</t>
        </is>
      </c>
      <c r="C22" s="7" t="n"/>
      <c r="D22" s="7" t="n"/>
      <c r="E22" s="8" t="n"/>
    </row>
    <row r="23" ht="22" customHeight="1">
      <c r="A23" s="26" t="n"/>
      <c r="B23" s="30" t="inlineStr">
        <is>
          <t>Executed Date (Ngày test)</t>
        </is>
      </c>
      <c r="C23" s="7" t="n"/>
      <c r="D23" s="7" t="n"/>
      <c r="E23" s="8" t="n"/>
    </row>
    <row r="24" ht="22" customHeight="1">
      <c r="A24" s="27" t="n"/>
      <c r="B24" s="30" t="inlineStr">
        <is>
          <t>Defect ID (Mã lỗi nếu có)</t>
        </is>
      </c>
      <c r="C24" s="7" t="n"/>
      <c r="D24" s="7" t="n"/>
      <c r="E24" s="8" t="n"/>
    </row>
  </sheetData>
  <mergeCells count="25">
    <mergeCell ref="C1:E1"/>
    <mergeCell ref="F5:K5"/>
    <mergeCell ref="A9:A14"/>
    <mergeCell ref="A15:A20"/>
    <mergeCell ref="L5:N5"/>
    <mergeCell ref="B24:E24"/>
    <mergeCell ref="A1:B1"/>
    <mergeCell ref="F2:K2"/>
    <mergeCell ref="A6:B6"/>
    <mergeCell ref="C2:E2"/>
    <mergeCell ref="A21:A24"/>
    <mergeCell ref="A3:B3"/>
    <mergeCell ref="B22:E22"/>
    <mergeCell ref="A2:B2"/>
    <mergeCell ref="B21:E21"/>
    <mergeCell ref="A5:B5"/>
    <mergeCell ref="F1:K1"/>
    <mergeCell ref="C3:E3"/>
    <mergeCell ref="C6:E6"/>
    <mergeCell ref="A4:B4"/>
    <mergeCell ref="B23:E23"/>
    <mergeCell ref="C5:E5"/>
    <mergeCell ref="F6:K6"/>
    <mergeCell ref="F3:K3"/>
    <mergeCell ref="C4:T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24"/>
  <sheetViews>
    <sheetView workbookViewId="0">
      <selection activeCell="A1" sqref="A1"/>
    </sheetView>
  </sheetViews>
  <sheetFormatPr baseColWidth="8" defaultRowHeight="15"/>
  <cols>
    <col width="14" customWidth="1" min="1" max="1"/>
    <col width="22" customWidth="1" min="2" max="2"/>
    <col width="10" customWidth="1" min="3" max="3"/>
    <col width="10" customWidth="1" min="4" max="4"/>
    <col width="8"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ht="22" customHeight="1">
      <c r="A1" s="16" t="inlineStr">
        <is>
          <t>Function Code</t>
        </is>
      </c>
      <c r="B1" s="17" t="n"/>
      <c r="C1" s="18" t="inlineStr">
        <is>
          <t>EMAIL-SYS-10</t>
        </is>
      </c>
      <c r="D1" s="7" t="n"/>
      <c r="E1" s="8" t="n"/>
      <c r="F1" s="16" t="inlineStr">
        <is>
          <t>Function Name</t>
        </is>
      </c>
      <c r="G1" s="19" t="n"/>
      <c r="H1" s="19" t="n"/>
      <c r="I1" s="19" t="n"/>
      <c r="J1" s="19" t="n"/>
      <c r="K1" s="17" t="n"/>
      <c r="L1" s="18" t="inlineStr">
        <is>
          <t>Gửi Email Thông Báo &amp; Mẫu Thư Hệ Thống</t>
        </is>
      </c>
    </row>
    <row r="2" ht="22" customHeight="1">
      <c r="A2" s="6" t="inlineStr">
        <is>
          <t>Created By</t>
        </is>
      </c>
      <c r="B2" s="8" t="n"/>
      <c r="C2" s="20" t="inlineStr">
        <is>
          <t>Chuyên viên QA / Antigravity Team</t>
        </is>
      </c>
      <c r="D2" s="7" t="n"/>
      <c r="E2" s="8" t="n"/>
      <c r="F2" s="6" t="inlineStr">
        <is>
          <t>Executed By</t>
        </is>
      </c>
      <c r="G2" s="7" t="n"/>
      <c r="H2" s="7" t="n"/>
      <c r="I2" s="7" t="n"/>
      <c r="J2" s="7" t="n"/>
      <c r="K2" s="8" t="n"/>
    </row>
    <row r="3" ht="22" customHeight="1">
      <c r="A3" s="6" t="inlineStr">
        <is>
          <t>Lines of code</t>
        </is>
      </c>
      <c r="B3" s="8" t="n"/>
      <c r="C3" s="2" t="inlineStr">
        <is>
          <t>N/A</t>
        </is>
      </c>
      <c r="D3" s="7" t="n"/>
      <c r="E3" s="8" t="n"/>
      <c r="F3" s="6" t="inlineStr">
        <is>
          <t>Lack of test cases</t>
        </is>
      </c>
      <c r="G3" s="7" t="n"/>
      <c r="H3" s="7" t="n"/>
      <c r="I3" s="7" t="n"/>
      <c r="J3" s="7" t="n"/>
      <c r="K3" s="8" t="n"/>
      <c r="L3" s="2" t="n">
        <v>0</v>
      </c>
    </row>
    <row r="4" ht="22" customHeight="1">
      <c r="A4" s="6" t="inlineStr">
        <is>
          <t>Test requirement</t>
        </is>
      </c>
      <c r="B4" s="8" t="n"/>
      <c r="C4" s="2" t="inlineStr">
        <is>
          <t>Kiểm tra việc gửi các loại mẫu email hệ thống, liên kết xác nhận và xử lý lỗi kết nối SMTP</t>
        </is>
      </c>
      <c r="D4" s="7" t="n"/>
      <c r="E4" s="7" t="n"/>
      <c r="F4" s="7" t="n"/>
      <c r="G4" s="7" t="n"/>
      <c r="H4" s="7" t="n"/>
      <c r="I4" s="7" t="n"/>
      <c r="J4" s="7" t="n"/>
      <c r="K4" s="7" t="n"/>
      <c r="L4" s="7" t="n"/>
      <c r="M4" s="7" t="n"/>
      <c r="N4" s="7" t="n"/>
      <c r="O4" s="7" t="n"/>
      <c r="P4" s="7" t="n"/>
      <c r="Q4" s="8" t="n"/>
    </row>
    <row r="5" ht="22" customHeight="1">
      <c r="A5" s="21" t="inlineStr">
        <is>
          <t>Passed</t>
        </is>
      </c>
      <c r="B5" s="8" t="n"/>
      <c r="C5" s="22" t="inlineStr">
        <is>
          <t>Failed</t>
        </is>
      </c>
      <c r="D5" s="7" t="n"/>
      <c r="E5" s="8" t="n"/>
      <c r="F5" s="23" t="inlineStr">
        <is>
          <t>Untested</t>
        </is>
      </c>
      <c r="G5" s="7" t="n"/>
      <c r="H5" s="7" t="n"/>
      <c r="I5" s="7" t="n"/>
      <c r="J5" s="7" t="n"/>
      <c r="K5" s="8" t="n"/>
      <c r="L5" s="13" t="inlineStr">
        <is>
          <t>N/A/B Case</t>
        </is>
      </c>
      <c r="M5" s="7" t="n"/>
      <c r="N5" s="8" t="n"/>
      <c r="O5" s="13" t="inlineStr">
        <is>
          <t>Total Test Cases</t>
        </is>
      </c>
    </row>
    <row r="6" ht="22" customHeight="1">
      <c r="A6" s="21">
        <f>COUNTIF(F22:Q22,"Passed")</f>
        <v/>
      </c>
      <c r="B6" s="8" t="n"/>
      <c r="C6" s="22">
        <f>COUNTIF(F22:Q22,"Failed")</f>
        <v/>
      </c>
      <c r="D6" s="7" t="n"/>
      <c r="E6" s="8" t="n"/>
      <c r="F6" s="23">
        <f>12-A6-C6</f>
        <v/>
      </c>
      <c r="G6" s="7" t="n"/>
      <c r="H6" s="7" t="n"/>
      <c r="I6" s="7" t="n"/>
      <c r="J6" s="7" t="n"/>
      <c r="K6" s="8" t="n"/>
      <c r="L6" s="9">
        <f>COUNTIF(F21:Q21,"N")</f>
        <v/>
      </c>
      <c r="M6" s="9">
        <f>COUNTIF(F21:Q21,"A")</f>
        <v/>
      </c>
      <c r="N6" s="9">
        <f>COUNTIF(F21:Q21,"B")</f>
        <v/>
      </c>
      <c r="O6" s="12" t="n">
        <v>12</v>
      </c>
    </row>
    <row r="7" ht="22" customHeight="1"/>
    <row r="8" ht="70" customHeight="1">
      <c r="F8" s="24" t="inlineStr">
        <is>
          <t>UTCID01</t>
        </is>
      </c>
      <c r="G8" s="24" t="inlineStr">
        <is>
          <t>UTCID02</t>
        </is>
      </c>
      <c r="H8" s="24" t="inlineStr">
        <is>
          <t>UTCID03</t>
        </is>
      </c>
      <c r="I8" s="24" t="inlineStr">
        <is>
          <t>UTCID04</t>
        </is>
      </c>
      <c r="J8" s="24" t="inlineStr">
        <is>
          <t>UTCID05</t>
        </is>
      </c>
      <c r="K8" s="24" t="inlineStr">
        <is>
          <t>UTCID06</t>
        </is>
      </c>
      <c r="L8" s="24" t="inlineStr">
        <is>
          <t>UTCID07</t>
        </is>
      </c>
      <c r="M8" s="24" t="inlineStr">
        <is>
          <t>UTCID08</t>
        </is>
      </c>
      <c r="N8" s="24" t="inlineStr">
        <is>
          <t>UTCID09</t>
        </is>
      </c>
      <c r="O8" s="24" t="inlineStr">
        <is>
          <t>UTCID10</t>
        </is>
      </c>
      <c r="P8" s="24" t="inlineStr">
        <is>
          <t>UTCID11</t>
        </is>
      </c>
      <c r="Q8" s="24" t="inlineStr">
        <is>
          <t>UTCID12</t>
        </is>
      </c>
    </row>
    <row r="9" ht="22" customHeight="1">
      <c r="A9" s="6" t="inlineStr">
        <is>
          <t>Condition
(Điều kiện)</t>
        </is>
      </c>
      <c r="B9" s="5" t="inlineStr">
        <is>
          <t>Input 1 (Dữ liệu vào)</t>
        </is>
      </c>
      <c r="F9" s="25" t="inlineStr">
        <is>
          <t>Mẫu Email</t>
        </is>
      </c>
      <c r="G9" s="25" t="inlineStr">
        <is>
          <t>Mẫu Email</t>
        </is>
      </c>
      <c r="H9" s="25" t="inlineStr">
        <is>
          <t>Mẫu Email</t>
        </is>
      </c>
      <c r="I9" s="25" t="inlineStr">
        <is>
          <t>Mẫu Email</t>
        </is>
      </c>
      <c r="J9" s="25" t="inlineStr">
        <is>
          <t>Mẫu Email</t>
        </is>
      </c>
      <c r="K9" s="25" t="inlineStr">
        <is>
          <t>Nội dung Email Unicode</t>
        </is>
      </c>
      <c r="L9" s="25" t="inlineStr">
        <is>
          <t>Gửi Email danh sách lớn</t>
        </is>
      </c>
      <c r="M9" s="25" t="inlineStr">
        <is>
          <t>Email gửi tới địa chỉ không tồn tại</t>
        </is>
      </c>
      <c r="N9" s="25" t="inlineStr">
        <is>
          <t>Gửi Mail khi mất kết nối SMTP</t>
        </is>
      </c>
      <c r="O9" s="25" t="inlineStr">
        <is>
          <t>Nhấp link kích hoạt đã hết hạn</t>
        </is>
      </c>
      <c r="P9" s="25" t="inlineStr">
        <is>
          <t>Tùy biến mẫu Email</t>
        </is>
      </c>
      <c r="Q9" s="25" t="inlineStr">
        <is>
          <t>Kiểm tra xem trước Email</t>
        </is>
      </c>
    </row>
    <row r="10" ht="22" customHeight="1">
      <c r="A10" s="26" t="n"/>
      <c r="F10" s="10" t="inlineStr">
        <is>
          <t>Xác nhận đăng ký tài khoản</t>
        </is>
      </c>
      <c r="G10" s="10" t="inlineStr">
        <is>
          <t>Yêu cầu Đặt lại mật khẩu</t>
        </is>
      </c>
      <c r="H10" s="10" t="inlineStr">
        <is>
          <t>Mời tham gia Tổ chức</t>
        </is>
      </c>
      <c r="I10" s="10" t="inlineStr">
        <is>
          <t>Thông báo khi có phản hồi mới</t>
        </is>
      </c>
      <c r="J10" s="10" t="inlineStr">
        <is>
          <t>Xem trước khảo sát dạng nhúng (Embed)</t>
        </is>
      </c>
      <c r="K10" s="10" t="inlineStr">
        <is>
          <t>Tên người nhận có dấu tiếng Việt</t>
        </is>
      </c>
      <c r="L10" s="10" t="inlineStr">
        <is>
          <t>Gửi thông báo tới 50 quản trị viên</t>
        </is>
      </c>
      <c r="M10" s="10" t="inlineStr">
        <is>
          <t>Địa chỉ: non_existent@invalid-domain-xyz.com</t>
        </is>
      </c>
      <c r="N10" s="10" t="inlineStr">
        <is>
          <t>Cấu hình SMTP bị ngắt mạng</t>
        </is>
      </c>
      <c r="O10" s="10" t="inlineStr">
        <is>
          <t>Token kích hoạt đã quá 24h</t>
        </is>
      </c>
      <c r="P10" s="10" t="inlineStr">
        <is>
          <t>Thay đổi Logo &amp; Màu nền thư</t>
        </is>
      </c>
      <c r="Q10" s="10" t="inlineStr">
        <is>
          <t>Bấm 'Gửi mail kiểm thử (Test Email)'</t>
        </is>
      </c>
    </row>
    <row r="11" ht="22" customHeight="1">
      <c r="A11" s="26" t="n"/>
    </row>
    <row r="12" ht="22" customHeight="1">
      <c r="A12" s="26" t="n"/>
      <c r="B12" s="5" t="inlineStr">
        <is>
          <t>Input 2 (Dữ liệu vào)</t>
        </is>
      </c>
      <c r="F12" s="25" t="inlineStr">
        <is>
          <t>Người nhận</t>
        </is>
      </c>
      <c r="G12" s="25" t="inlineStr">
        <is>
          <t>Người nhận</t>
        </is>
      </c>
      <c r="H12" s="25" t="inlineStr">
        <is>
          <t>Người nhận</t>
        </is>
      </c>
      <c r="I12" s="25" t="inlineStr">
        <is>
          <t>Người nhận</t>
        </is>
      </c>
      <c r="J12" s="25" t="inlineStr">
        <is>
          <t>Người nhận</t>
        </is>
      </c>
      <c r="K12" s="25" t="inlineStr">
        <is>
          <t>Tên</t>
        </is>
      </c>
      <c r="L12" s="25" t="inlineStr">
        <is>
          <t>Danh sách</t>
        </is>
      </c>
      <c r="M12" s="25" t="inlineStr">
        <is>
          <t>Gửi</t>
        </is>
      </c>
      <c r="N12" s="25" t="inlineStr">
        <is>
          <t>Hành động</t>
        </is>
      </c>
      <c r="O12" s="25" t="inlineStr">
        <is>
          <t>Action</t>
        </is>
      </c>
      <c r="P12" s="25" t="inlineStr">
        <is>
          <t>Cấu hình</t>
        </is>
      </c>
      <c r="Q12" s="25" t="inlineStr">
        <is>
          <t>Email nhận</t>
        </is>
      </c>
    </row>
    <row r="13" ht="22" customHeight="1">
      <c r="A13" s="26" t="n"/>
      <c r="F13" s="10" t="inlineStr">
        <is>
          <t>newuser@example.com</t>
        </is>
      </c>
      <c r="G13" s="10" t="inlineStr">
        <is>
          <t>user@example.com</t>
        </is>
      </c>
      <c r="H13" s="10" t="inlineStr">
        <is>
          <t>colleague@company.com</t>
        </is>
      </c>
      <c r="I13" s="10" t="inlineStr">
        <is>
          <t>owner@formbricks.com</t>
        </is>
      </c>
      <c r="J13" s="10" t="inlineStr">
        <is>
          <t>tester@domain.com</t>
        </is>
      </c>
      <c r="K13" s="10" t="inlineStr">
        <is>
          <t>Nguyễn Văn Ánh</t>
        </is>
      </c>
      <c r="L13" s="10" t="inlineStr">
        <is>
          <t>50 emails</t>
        </is>
      </c>
      <c r="M13" s="10" t="inlineStr">
        <is>
          <t>Mail xác nhận</t>
        </is>
      </c>
      <c r="N13" s="10" t="inlineStr">
        <is>
          <t>Gửi Mail</t>
        </is>
      </c>
      <c r="O13" s="10" t="inlineStr">
        <is>
          <t>Click Link</t>
        </is>
      </c>
      <c r="P13" s="10" t="inlineStr">
        <is>
          <t>Email Branding</t>
        </is>
      </c>
      <c r="Q13" s="10" t="inlineStr">
        <is>
          <t>admin@test.com</t>
        </is>
      </c>
    </row>
    <row r="14" ht="22" customHeight="1">
      <c r="A14" s="27" t="n"/>
    </row>
    <row r="15" ht="22" customHeight="1">
      <c r="A15" s="6" t="inlineStr">
        <is>
          <t>Confirm
(Xác nhận)</t>
        </is>
      </c>
      <c r="B15" s="5" t="inlineStr">
        <is>
          <t>Kết quả</t>
        </is>
      </c>
      <c r="F15" s="10" t="inlineStr">
        <is>
          <t>Email xác nhận được gửi đi có chứa đường dẫn kích hoạt</t>
        </is>
      </c>
      <c r="G15" s="10" t="inlineStr">
        <is>
          <t>Email chứa Token khôi phục mật khẩu gửi thành công</t>
        </is>
      </c>
      <c r="H15" s="10" t="inlineStr">
        <is>
          <t>Email mời gia nhập kèm nút bấm chấp nhận gửi đi thành công</t>
        </is>
      </c>
      <c r="I15" s="10" t="inlineStr">
        <is>
          <t>Email tóm tắt phản hồi mới gửi tới chủ sở hữu khảo sát</t>
        </is>
      </c>
      <c r="J15" s="10" t="inlineStr">
        <is>
          <t>Email chứa mã nhúng xem trước gửi đi thành công</t>
        </is>
      </c>
      <c r="K15" s="10" t="inlineStr">
        <is>
          <t>Email hiển thị chuẩn tên tiếng Việt có dấu không vỡ font</t>
        </is>
      </c>
      <c r="L15" s="10" t="inlineStr">
        <is>
          <t>Hệ thống gửi hàng loạt qua hàng đợi Queue thành công</t>
        </is>
      </c>
      <c r="M15" s="10" t="inlineStr"/>
      <c r="N15" s="10" t="inlineStr"/>
      <c r="O15" s="10" t="inlineStr"/>
      <c r="P15" s="10" t="inlineStr">
        <is>
          <t>Mẫu email gửi đi áp dụng đúng Logo và màu sắc mới</t>
        </is>
      </c>
      <c r="Q15" s="10" t="inlineStr">
        <is>
          <t>Email test gửi về hòm thư người quản trị thành công</t>
        </is>
      </c>
    </row>
    <row r="16" ht="22" customHeight="1">
      <c r="A16" s="26" t="n"/>
    </row>
    <row r="17" ht="22" customHeight="1">
      <c r="A17" s="26" t="n"/>
      <c r="B17" s="5" t="inlineStr">
        <is>
          <t>Lỗi</t>
        </is>
      </c>
      <c r="F17" s="10" t="inlineStr"/>
      <c r="G17" s="10" t="inlineStr"/>
      <c r="H17" s="10" t="inlineStr"/>
      <c r="I17" s="10" t="inlineStr"/>
      <c r="J17" s="10" t="inlineStr"/>
      <c r="K17" s="10" t="inlineStr"/>
      <c r="L17" s="10" t="inlineStr"/>
      <c r="M17" s="28" t="inlineStr">
        <is>
          <t>Dịch vụ báo lỗi Gửi thất bại (Bounce/Undelivered)</t>
        </is>
      </c>
      <c r="N17" s="28" t="inlineStr">
        <is>
          <t>Không thể kết nối đến máy chủ SMTP</t>
        </is>
      </c>
      <c r="O17" s="28" t="inlineStr">
        <is>
          <t>Đường dẫn xác nhận đã hết hạn, vui lòng yêu cầu lại</t>
        </is>
      </c>
      <c r="P17" s="10" t="inlineStr"/>
      <c r="Q17" s="10" t="inlineStr"/>
    </row>
    <row r="18" ht="22" customHeight="1">
      <c r="A18" s="26" t="n"/>
    </row>
    <row r="19" ht="22" customHeight="1">
      <c r="A19" s="26" t="n"/>
      <c r="B19" s="5" t="inlineStr">
        <is>
          <t>Log</t>
        </is>
      </c>
      <c r="F19" s="10" t="inlineStr">
        <is>
          <t>Verification email sent</t>
        </is>
      </c>
      <c r="G19" s="10" t="inlineStr">
        <is>
          <t>Reset password email sent</t>
        </is>
      </c>
      <c r="H19" s="10" t="inlineStr">
        <is>
          <t>Org invite email sent</t>
        </is>
      </c>
      <c r="I19" s="10" t="inlineStr">
        <is>
          <t>Response notify email sent</t>
        </is>
      </c>
      <c r="J19" s="10" t="inlineStr">
        <is>
          <t>Embed preview email sent</t>
        </is>
      </c>
      <c r="K19" s="10" t="inlineStr">
        <is>
          <t>Unicode email name OK</t>
        </is>
      </c>
      <c r="L19" s="10" t="inlineStr">
        <is>
          <t>Bulk email queue OK</t>
        </is>
      </c>
      <c r="M19" s="10" t="inlineStr">
        <is>
          <t>Email bounce handled</t>
        </is>
      </c>
      <c r="N19" s="10" t="inlineStr">
        <is>
          <t>SMTP connection error</t>
        </is>
      </c>
      <c r="O19" s="10" t="inlineStr">
        <is>
          <t>Token expired error</t>
        </is>
      </c>
      <c r="P19" s="10" t="inlineStr">
        <is>
          <t>Email template customized</t>
        </is>
      </c>
      <c r="Q19" s="10" t="inlineStr">
        <is>
          <t>Test email sent OK</t>
        </is>
      </c>
    </row>
    <row r="20" ht="22" customHeight="1">
      <c r="A20" s="27" t="n"/>
    </row>
    <row r="21" ht="22" customHeight="1">
      <c r="A21" s="29" t="inlineStr">
        <is>
          <t>Result
(Kết quả)</t>
        </is>
      </c>
      <c r="B21" s="30" t="inlineStr">
        <is>
          <t>Type (N : Normal, A : Abnormal, B : Boundary)</t>
        </is>
      </c>
      <c r="C21" s="7" t="n"/>
      <c r="D21" s="7" t="n"/>
      <c r="E21" s="8" t="n"/>
      <c r="F21" s="21" t="inlineStr">
        <is>
          <t>N</t>
        </is>
      </c>
      <c r="G21" s="21" t="inlineStr">
        <is>
          <t>N</t>
        </is>
      </c>
      <c r="H21" s="21" t="inlineStr">
        <is>
          <t>N</t>
        </is>
      </c>
      <c r="I21" s="21" t="inlineStr">
        <is>
          <t>N</t>
        </is>
      </c>
      <c r="J21" s="21" t="inlineStr">
        <is>
          <t>N</t>
        </is>
      </c>
      <c r="K21" s="23" t="inlineStr">
        <is>
          <t>B</t>
        </is>
      </c>
      <c r="L21" s="23" t="inlineStr">
        <is>
          <t>B</t>
        </is>
      </c>
      <c r="M21" s="22" t="inlineStr">
        <is>
          <t>A</t>
        </is>
      </c>
      <c r="N21" s="22" t="inlineStr">
        <is>
          <t>A</t>
        </is>
      </c>
      <c r="O21" s="22" t="inlineStr">
        <is>
          <t>A</t>
        </is>
      </c>
      <c r="P21" s="21" t="inlineStr">
        <is>
          <t>N</t>
        </is>
      </c>
      <c r="Q21" s="21" t="inlineStr">
        <is>
          <t>N</t>
        </is>
      </c>
    </row>
    <row r="22" ht="22" customHeight="1">
      <c r="A22" s="26" t="n"/>
      <c r="B22" s="30" t="inlineStr">
        <is>
          <t>Passed/Failed (Điền P hoặc F)</t>
        </is>
      </c>
      <c r="C22" s="7" t="n"/>
      <c r="D22" s="7" t="n"/>
      <c r="E22" s="8" t="n"/>
    </row>
    <row r="23" ht="22" customHeight="1">
      <c r="A23" s="26" t="n"/>
      <c r="B23" s="30" t="inlineStr">
        <is>
          <t>Executed Date (Ngày test)</t>
        </is>
      </c>
      <c r="C23" s="7" t="n"/>
      <c r="D23" s="7" t="n"/>
      <c r="E23" s="8" t="n"/>
    </row>
    <row r="24" ht="22" customHeight="1">
      <c r="A24" s="27" t="n"/>
      <c r="B24" s="30" t="inlineStr">
        <is>
          <t>Defect ID (Mã lỗi nếu có)</t>
        </is>
      </c>
      <c r="C24" s="7" t="n"/>
      <c r="D24" s="7" t="n"/>
      <c r="E24" s="8" t="n"/>
    </row>
  </sheetData>
  <mergeCells count="25">
    <mergeCell ref="C1:E1"/>
    <mergeCell ref="F5:K5"/>
    <mergeCell ref="A9:A14"/>
    <mergeCell ref="A15:A20"/>
    <mergeCell ref="L5:N5"/>
    <mergeCell ref="B24:E24"/>
    <mergeCell ref="A1:B1"/>
    <mergeCell ref="F2:K2"/>
    <mergeCell ref="A6:B6"/>
    <mergeCell ref="C2:E2"/>
    <mergeCell ref="A21:A24"/>
    <mergeCell ref="A3:B3"/>
    <mergeCell ref="B22:E22"/>
    <mergeCell ref="A2:B2"/>
    <mergeCell ref="B21:E21"/>
    <mergeCell ref="A5:B5"/>
    <mergeCell ref="F1:K1"/>
    <mergeCell ref="C3:E3"/>
    <mergeCell ref="C6:E6"/>
    <mergeCell ref="A4:B4"/>
    <mergeCell ref="B23:E23"/>
    <mergeCell ref="C5:E5"/>
    <mergeCell ref="F6:K6"/>
    <mergeCell ref="C4:Q4"/>
    <mergeCell ref="F3:K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2026-08-08T13:18:03Z</dcterms:created>
  <dcterms:modified xmlns:dcterms="http://purl.org/dc/terms/" xmlns:xsi="http://www.w3.org/2001/XMLSchema-instance" xsi:type="dcterms:W3CDTF">2026-08-08T13:18:03Z</dcterms:modified>
</cp:coreProperties>
</file>